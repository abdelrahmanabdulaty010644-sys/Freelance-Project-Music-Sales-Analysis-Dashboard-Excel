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omain\Downloads\"/>
    </mc:Choice>
  </mc:AlternateContent>
  <xr:revisionPtr revIDLastSave="0" documentId="13_ncr:1_{1F00BC84-7614-4D08-A3FC-579BF3078864}" xr6:coauthVersionLast="47" xr6:coauthVersionMax="47" xr10:uidLastSave="{00000000-0000-0000-0000-000000000000}"/>
  <bookViews>
    <workbookView xWindow="-48" yWindow="-48" windowWidth="23136" windowHeight="12336" activeTab="1" xr2:uid="{00000000-000D-0000-FFFF-FFFF00000000}"/>
  </bookViews>
  <sheets>
    <sheet name="Sheet1 (2)" sheetId="2" r:id="rId1"/>
    <sheet name="Dachbord" sheetId="4" r:id="rId2"/>
    <sheet name="pivote table " sheetId="3" r:id="rId3"/>
    <sheet name="Sheet1" sheetId="1" r:id="rId4"/>
  </sheets>
  <definedNames>
    <definedName name="ExternalData_1" localSheetId="0" hidden="1">'Sheet1 (2)'!$A$1:$J$201</definedName>
    <definedName name="Slicer_DJ_Name">#N/A</definedName>
    <definedName name="Slicer_Primary_Genr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E6C25E-CF93-4188-847B-EE27483C5536}"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<sst xmlns="http://schemas.openxmlformats.org/spreadsheetml/2006/main" count="1662" uniqueCount="234">
  <si>
    <t>Session_ID</t>
  </si>
  <si>
    <t>Date</t>
  </si>
  <si>
    <t>Hour_Block</t>
  </si>
  <si>
    <t>DJ_Name</t>
  </si>
  <si>
    <t>Primary_Genre</t>
  </si>
  <si>
    <t>Average_Decibels</t>
  </si>
  <si>
    <t>Total_Drink_Sales_USD</t>
  </si>
  <si>
    <t>Guest_Count</t>
  </si>
  <si>
    <t>Bar_Staff_Count</t>
  </si>
  <si>
    <t>SESS_001</t>
  </si>
  <si>
    <t>21:00-22:00</t>
  </si>
  <si>
    <t>DJ Hype</t>
  </si>
  <si>
    <t>Hip-Hop</t>
  </si>
  <si>
    <t>SESS_002</t>
  </si>
  <si>
    <t>22:00-23:00</t>
  </si>
  <si>
    <t>SESS_003</t>
  </si>
  <si>
    <t>23:00-00:00</t>
  </si>
  <si>
    <t>Luna Eclipse</t>
  </si>
  <si>
    <t>EDM</t>
  </si>
  <si>
    <t>SESS_004</t>
  </si>
  <si>
    <t>00:00-01:00</t>
  </si>
  <si>
    <t>SESS_005</t>
  </si>
  <si>
    <t>01:00-02:00</t>
  </si>
  <si>
    <t>Vibe Commander</t>
  </si>
  <si>
    <t>Reggaeton</t>
  </si>
  <si>
    <t>SESS_006</t>
  </si>
  <si>
    <t>02:00-03:00</t>
  </si>
  <si>
    <t>SESS_007</t>
  </si>
  <si>
    <t>DJ Retro</t>
  </si>
  <si>
    <t>80s Rock</t>
  </si>
  <si>
    <t>SESS_008</t>
  </si>
  <si>
    <t>SESS_009</t>
  </si>
  <si>
    <t>Neon Shadow</t>
  </si>
  <si>
    <t>Synthwave</t>
  </si>
  <si>
    <t>SESS_010</t>
  </si>
  <si>
    <t>SESS_011</t>
  </si>
  <si>
    <t>SESS_012</t>
  </si>
  <si>
    <t>SESS_013</t>
  </si>
  <si>
    <t>SESS_014</t>
  </si>
  <si>
    <t>SESS_015</t>
  </si>
  <si>
    <t>SESS_016</t>
  </si>
  <si>
    <t>SESS_017</t>
  </si>
  <si>
    <t>DJ Disco</t>
  </si>
  <si>
    <t>House</t>
  </si>
  <si>
    <t>SESS_018</t>
  </si>
  <si>
    <t>SESS_019</t>
  </si>
  <si>
    <t>SESS_020</t>
  </si>
  <si>
    <t>SESS_021</t>
  </si>
  <si>
    <t>SESS_022</t>
  </si>
  <si>
    <t>SESS_023</t>
  </si>
  <si>
    <t>SESS_024</t>
  </si>
  <si>
    <t>SESS_025</t>
  </si>
  <si>
    <t>SESS_026</t>
  </si>
  <si>
    <t>SESS_027</t>
  </si>
  <si>
    <t>SESS_028</t>
  </si>
  <si>
    <t>SESS_029</t>
  </si>
  <si>
    <t>SESS_030</t>
  </si>
  <si>
    <t>SESS_031</t>
  </si>
  <si>
    <t>SESS_032</t>
  </si>
  <si>
    <t>SESS_033</t>
  </si>
  <si>
    <t>SESS_034</t>
  </si>
  <si>
    <t>SESS_035</t>
  </si>
  <si>
    <t>SESS_036</t>
  </si>
  <si>
    <t>SESS_037</t>
  </si>
  <si>
    <t>SESS_038</t>
  </si>
  <si>
    <t>SESS_039</t>
  </si>
  <si>
    <t>SESS_040</t>
  </si>
  <si>
    <t>SESS_041</t>
  </si>
  <si>
    <t>SESS_042</t>
  </si>
  <si>
    <t>SESS_043</t>
  </si>
  <si>
    <t>SESS_044</t>
  </si>
  <si>
    <t>SESS_045</t>
  </si>
  <si>
    <t>SESS_046</t>
  </si>
  <si>
    <t>SESS_047</t>
  </si>
  <si>
    <t>SESS_048</t>
  </si>
  <si>
    <t>SESS_049</t>
  </si>
  <si>
    <t>SESS_050</t>
  </si>
  <si>
    <t>SESS_051</t>
  </si>
  <si>
    <t>SESS_052</t>
  </si>
  <si>
    <t>SESS_053</t>
  </si>
  <si>
    <t>SESS_054</t>
  </si>
  <si>
    <t>SESS_055</t>
  </si>
  <si>
    <t>SESS_056</t>
  </si>
  <si>
    <t>SESS_057</t>
  </si>
  <si>
    <t>SESS_058</t>
  </si>
  <si>
    <t>SESS_059</t>
  </si>
  <si>
    <t>SESS_060</t>
  </si>
  <si>
    <t>SESS_061</t>
  </si>
  <si>
    <t>SESS_062</t>
  </si>
  <si>
    <t>SESS_063</t>
  </si>
  <si>
    <t>SESS_064</t>
  </si>
  <si>
    <t>SESS_065</t>
  </si>
  <si>
    <t>SESS_066</t>
  </si>
  <si>
    <t>SESS_067</t>
  </si>
  <si>
    <t>SESS_068</t>
  </si>
  <si>
    <t>SESS_069</t>
  </si>
  <si>
    <t>SESS_070</t>
  </si>
  <si>
    <t>SESS_071</t>
  </si>
  <si>
    <t>SESS_072</t>
  </si>
  <si>
    <t>SESS_073</t>
  </si>
  <si>
    <t>SESS_074</t>
  </si>
  <si>
    <t>SESS_075</t>
  </si>
  <si>
    <t>SESS_076</t>
  </si>
  <si>
    <t>SESS_077</t>
  </si>
  <si>
    <t>SESS_078</t>
  </si>
  <si>
    <t>SESS_079</t>
  </si>
  <si>
    <t>SESS_080</t>
  </si>
  <si>
    <t>SESS_081</t>
  </si>
  <si>
    <t>SESS_082</t>
  </si>
  <si>
    <t>SESS_083</t>
  </si>
  <si>
    <t>SESS_084</t>
  </si>
  <si>
    <t>SESS_085</t>
  </si>
  <si>
    <t>SESS_086</t>
  </si>
  <si>
    <t>SESS_087</t>
  </si>
  <si>
    <t>SESS_088</t>
  </si>
  <si>
    <t>SESS_089</t>
  </si>
  <si>
    <t>SESS_090</t>
  </si>
  <si>
    <t>SESS_091</t>
  </si>
  <si>
    <t>SESS_092</t>
  </si>
  <si>
    <t>SESS_093</t>
  </si>
  <si>
    <t>SESS_094</t>
  </si>
  <si>
    <t>SESS_095</t>
  </si>
  <si>
    <t>SESS_096</t>
  </si>
  <si>
    <t>SESS_097</t>
  </si>
  <si>
    <t>SESS_098</t>
  </si>
  <si>
    <t>SESS_099</t>
  </si>
  <si>
    <t>SESS_100</t>
  </si>
  <si>
    <t>SESS_101</t>
  </si>
  <si>
    <t>SESS_102</t>
  </si>
  <si>
    <t>SESS_103</t>
  </si>
  <si>
    <t>SESS_104</t>
  </si>
  <si>
    <t>SESS_105</t>
  </si>
  <si>
    <t>SESS_106</t>
  </si>
  <si>
    <t>SESS_107</t>
  </si>
  <si>
    <t>SESS_108</t>
  </si>
  <si>
    <t>SESS_109</t>
  </si>
  <si>
    <t>SESS_110</t>
  </si>
  <si>
    <t>SESS_111</t>
  </si>
  <si>
    <t>SESS_112</t>
  </si>
  <si>
    <t>SESS_113</t>
  </si>
  <si>
    <t>SESS_114</t>
  </si>
  <si>
    <t>SESS_115</t>
  </si>
  <si>
    <t>SESS_116</t>
  </si>
  <si>
    <t>SESS_117</t>
  </si>
  <si>
    <t>SESS_118</t>
  </si>
  <si>
    <t>SESS_119</t>
  </si>
  <si>
    <t>SESS_120</t>
  </si>
  <si>
    <t>SESS_121</t>
  </si>
  <si>
    <t>SESS_122</t>
  </si>
  <si>
    <t>SESS_123</t>
  </si>
  <si>
    <t>SESS_124</t>
  </si>
  <si>
    <t>SESS_125</t>
  </si>
  <si>
    <t>SESS_126</t>
  </si>
  <si>
    <t>SESS_127</t>
  </si>
  <si>
    <t>SESS_128</t>
  </si>
  <si>
    <t>SESS_129</t>
  </si>
  <si>
    <t>SESS_130</t>
  </si>
  <si>
    <t>SESS_131</t>
  </si>
  <si>
    <t>SESS_132</t>
  </si>
  <si>
    <t>SESS_133</t>
  </si>
  <si>
    <t>SESS_134</t>
  </si>
  <si>
    <t>SESS_135</t>
  </si>
  <si>
    <t>SESS_136</t>
  </si>
  <si>
    <t>SESS_137</t>
  </si>
  <si>
    <t>SESS_138</t>
  </si>
  <si>
    <t>SESS_139</t>
  </si>
  <si>
    <t>SESS_140</t>
  </si>
  <si>
    <t>SESS_141</t>
  </si>
  <si>
    <t>SESS_142</t>
  </si>
  <si>
    <t>SESS_143</t>
  </si>
  <si>
    <t>SESS_144</t>
  </si>
  <si>
    <t>SESS_145</t>
  </si>
  <si>
    <t>SESS_146</t>
  </si>
  <si>
    <t>SESS_147</t>
  </si>
  <si>
    <t>SESS_148</t>
  </si>
  <si>
    <t>SESS_149</t>
  </si>
  <si>
    <t>SESS_150</t>
  </si>
  <si>
    <t>SESS_151</t>
  </si>
  <si>
    <t>SESS_152</t>
  </si>
  <si>
    <t>SESS_153</t>
  </si>
  <si>
    <t>SESS_154</t>
  </si>
  <si>
    <t>SESS_155</t>
  </si>
  <si>
    <t>SESS_156</t>
  </si>
  <si>
    <t>SESS_157</t>
  </si>
  <si>
    <t>SESS_158</t>
  </si>
  <si>
    <t>SESS_159</t>
  </si>
  <si>
    <t>SESS_160</t>
  </si>
  <si>
    <t>SESS_161</t>
  </si>
  <si>
    <t>SESS_162</t>
  </si>
  <si>
    <t>SESS_163</t>
  </si>
  <si>
    <t>SESS_164</t>
  </si>
  <si>
    <t>SESS_165</t>
  </si>
  <si>
    <t>SESS_166</t>
  </si>
  <si>
    <t>SESS_167</t>
  </si>
  <si>
    <t>SESS_168</t>
  </si>
  <si>
    <t>SESS_169</t>
  </si>
  <si>
    <t>SESS_170</t>
  </si>
  <si>
    <t>SESS_171</t>
  </si>
  <si>
    <t>SESS_172</t>
  </si>
  <si>
    <t>SESS_173</t>
  </si>
  <si>
    <t>SESS_174</t>
  </si>
  <si>
    <t>SESS_175</t>
  </si>
  <si>
    <t>SESS_176</t>
  </si>
  <si>
    <t>SESS_177</t>
  </si>
  <si>
    <t>SESS_178</t>
  </si>
  <si>
    <t>SESS_179</t>
  </si>
  <si>
    <t>SESS_180</t>
  </si>
  <si>
    <t>SESS_181</t>
  </si>
  <si>
    <t>SESS_182</t>
  </si>
  <si>
    <t>SESS_183</t>
  </si>
  <si>
    <t>SESS_184</t>
  </si>
  <si>
    <t>SESS_185</t>
  </si>
  <si>
    <t>SESS_186</t>
  </si>
  <si>
    <t>SESS_187</t>
  </si>
  <si>
    <t>SESS_188</t>
  </si>
  <si>
    <t>SESS_189</t>
  </si>
  <si>
    <t>SESS_190</t>
  </si>
  <si>
    <t>SESS_191</t>
  </si>
  <si>
    <t>SESS_192</t>
  </si>
  <si>
    <t>SESS_193</t>
  </si>
  <si>
    <t>SESS_194</t>
  </si>
  <si>
    <t>SESS_195</t>
  </si>
  <si>
    <t>SESS_196</t>
  </si>
  <si>
    <t>SESS_197</t>
  </si>
  <si>
    <t>SESS_198</t>
  </si>
  <si>
    <t>SESS_199</t>
  </si>
  <si>
    <t>SESS_200</t>
  </si>
  <si>
    <t xml:space="preserve">Genre code </t>
  </si>
  <si>
    <t>Row Labels</t>
  </si>
  <si>
    <t>Grand Total</t>
  </si>
  <si>
    <t>Sum of Total_Drink_Sales_USD</t>
  </si>
  <si>
    <t>Count of Hour_Block</t>
  </si>
  <si>
    <t>Sum of Guest_Count</t>
  </si>
  <si>
    <t>Average of Total_Drink_Sales_USD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</si>
</sst>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1" tint="0.14999847407452621"/>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2" borderId="0" xfId="0" applyFont="1" applyFill="1" applyAlignment="1">
      <alignment horizontal="center"/>
    </xf>
    <xf numFmtId="0" fontId="1" fillId="2" borderId="0" xfId="0" applyFont="1" applyFill="1"/>
  </cellXfs>
  <cellStyles count="1">
    <cellStyle name="Normal" xfId="0" builtinId="0"/>
  </cellStyles>
  <dxfs count="8">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[CD364030.xlsx]pivote table !PivotTable1</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607365563333587E-2"/>
          <c:y val="9.8657456521040285E-2"/>
          <c:w val="0.95429064692735688"/>
          <c:h val="0.8026850869579194"/>
        </c:manualLayout>
      </c:layout>
      <c:barChart>
        <c:barDir val="col"/>
        <c:grouping val="clustered"/>
        <c:varyColors val="0"/>
        <c:ser>
          <c:idx val="0"/>
          <c:order val="0"/>
          <c:tx>
            <c:strRef>
              <c:f>'pivote table '!$E$9</c:f>
              <c:strCache>
                <c:ptCount val="1"/>
                <c:pt idx="0">
                  <c:v>Sum of Total_Drink_Sales_USD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 table '!$D$10:$D$16</c:f>
              <c:strCache>
                <c:ptCount val="6"/>
                <c:pt idx="0">
                  <c:v>Synthwave</c:v>
                </c:pt>
                <c:pt idx="1">
                  <c:v>80s Rock</c:v>
                </c:pt>
                <c:pt idx="2">
                  <c:v>House</c:v>
                </c:pt>
                <c:pt idx="3">
                  <c:v>Hip-Hop</c:v>
                </c:pt>
                <c:pt idx="4">
                  <c:v>Reggaeton</c:v>
                </c:pt>
                <c:pt idx="5">
                  <c:v>EDM</c:v>
                </c:pt>
              </c:strCache>
            </c:strRef>
          </c:cat>
          <c:val>
            <c:numRef>
              <c:f>'pivote table '!$E$10:$E$16</c:f>
              <c:numCache>
                <c:formatCode>General</c:formatCode>
                <c:ptCount val="6"/>
                <c:pt idx="0">
                  <c:v>29164.25</c:v>
                </c:pt>
                <c:pt idx="1">
                  <c:v>39868</c:v>
                </c:pt>
                <c:pt idx="2">
                  <c:v>90477.5</c:v>
                </c:pt>
                <c:pt idx="3">
                  <c:v>119821.5</c:v>
                </c:pt>
                <c:pt idx="4">
                  <c:v>121580</c:v>
                </c:pt>
                <c:pt idx="5">
                  <c:v>158349.5</c:v>
                </c:pt>
              </c:numCache>
            </c:numRef>
          </c:val>
          <c:extLst>
            <c:ext xmlns:c16="http://schemas.microsoft.com/office/drawing/2014/chart" uri="{C3380CC4-5D6E-409C-BE32-E72D297353CC}">
              <c16:uniqueId val="{00000000-36A8-49AF-BCA8-E847A567A03E}"/>
            </c:ext>
          </c:extLst>
        </c:ser>
        <c:dLbls>
          <c:showLegendKey val="0"/>
          <c:showVal val="0"/>
          <c:showCatName val="0"/>
          <c:showSerName val="0"/>
          <c:showPercent val="0"/>
          <c:showBubbleSize val="0"/>
        </c:dLbls>
        <c:gapWidth val="219"/>
        <c:overlap val="-27"/>
        <c:axId val="979715904"/>
        <c:axId val="1446939728"/>
      </c:barChart>
      <c:lineChart>
        <c:grouping val="standard"/>
        <c:varyColors val="0"/>
        <c:ser>
          <c:idx val="1"/>
          <c:order val="1"/>
          <c:tx>
            <c:strRef>
              <c:f>'pivote table '!$F$9</c:f>
              <c:strCache>
                <c:ptCount val="1"/>
                <c:pt idx="0">
                  <c:v>Count of Hour_Block</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'pivote table '!$D$10:$D$16</c:f>
              <c:strCache>
                <c:ptCount val="6"/>
                <c:pt idx="0">
                  <c:v>Synthwave</c:v>
                </c:pt>
                <c:pt idx="1">
                  <c:v>80s Rock</c:v>
                </c:pt>
                <c:pt idx="2">
                  <c:v>House</c:v>
                </c:pt>
                <c:pt idx="3">
                  <c:v>Hip-Hop</c:v>
                </c:pt>
                <c:pt idx="4">
                  <c:v>Reggaeton</c:v>
                </c:pt>
                <c:pt idx="5">
                  <c:v>EDM</c:v>
                </c:pt>
              </c:strCache>
            </c:strRef>
          </c:cat>
          <c:val>
            <c:numRef>
              <c:f>'pivote table '!$F$10:$F$16</c:f>
              <c:numCache>
                <c:formatCode>General</c:formatCode>
                <c:ptCount val="6"/>
                <c:pt idx="0">
                  <c:v>18</c:v>
                </c:pt>
                <c:pt idx="1">
                  <c:v>34</c:v>
                </c:pt>
                <c:pt idx="2">
                  <c:v>32</c:v>
                </c:pt>
                <c:pt idx="3">
                  <c:v>48</c:v>
                </c:pt>
                <c:pt idx="4">
                  <c:v>34</c:v>
                </c:pt>
                <c:pt idx="5">
                  <c:v>34</c:v>
                </c:pt>
              </c:numCache>
            </c:numRef>
          </c:val>
          <c:smooth val="0"/>
          <c:extLst>
            <c:ext xmlns:c16="http://schemas.microsoft.com/office/drawing/2014/chart" uri="{C3380CC4-5D6E-409C-BE32-E72D297353CC}">
              <c16:uniqueId val="{00000001-36A8-49AF-BCA8-E847A567A03E}"/>
            </c:ext>
          </c:extLst>
        </c:ser>
        <c:dLbls>
          <c:showLegendKey val="0"/>
          <c:showVal val="0"/>
          <c:showCatName val="0"/>
          <c:showSerName val="0"/>
          <c:showPercent val="0"/>
          <c:showBubbleSize val="0"/>
        </c:dLbls>
        <c:marker val="1"/>
        <c:smooth val="0"/>
        <c:axId val="979704816"/>
        <c:axId val="1446940816"/>
      </c:lineChart>
      <c:catAx>
        <c:axId val="97971590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6939728"/>
        <c:crosses val="autoZero"/>
        <c:auto val="1"/>
        <c:lblAlgn val="ctr"/>
        <c:lblOffset val="100"/>
        <c:noMultiLvlLbl val="0"/>
      </c:catAx>
      <c:valAx>
        <c:axId val="14469397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715904"/>
        <c:crosses val="autoZero"/>
        <c:crossBetween val="between"/>
      </c:valAx>
      <c:valAx>
        <c:axId val="14469408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704816"/>
        <c:crosses val="max"/>
        <c:crossBetween val="between"/>
      </c:valAx>
      <c:catAx>
        <c:axId val="979704816"/>
        <c:scaling>
          <c:orientation val="minMax"/>
        </c:scaling>
        <c:delete val="0"/>
        <c:axPos val="t"/>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6940816"/>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[CD364030.xlsx]pivote table !PivotTable2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Genre by Count Guest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table '!$M$9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 table '!$L$10:$L$16</c:f>
              <c:strCache>
                <c:ptCount val="6"/>
                <c:pt idx="0">
                  <c:v>EDM</c:v>
                </c:pt>
                <c:pt idx="1">
                  <c:v>Hip-Hop</c:v>
                </c:pt>
                <c:pt idx="2">
                  <c:v>Reggaeton</c:v>
                </c:pt>
                <c:pt idx="3">
                  <c:v>House</c:v>
                </c:pt>
                <c:pt idx="4">
                  <c:v>80s Rock</c:v>
                </c:pt>
                <c:pt idx="5">
                  <c:v>Synthwave</c:v>
                </c:pt>
              </c:strCache>
            </c:strRef>
          </c:cat>
          <c:val>
            <c:numRef>
              <c:f>'pivote table '!$M$10:$M$16</c:f>
              <c:numCache>
                <c:formatCode>General</c:formatCode>
                <c:ptCount val="6"/>
                <c:pt idx="0">
                  <c:v>11405</c:v>
                </c:pt>
                <c:pt idx="1">
                  <c:v>8805</c:v>
                </c:pt>
                <c:pt idx="2">
                  <c:v>8655</c:v>
                </c:pt>
                <c:pt idx="3">
                  <c:v>6675</c:v>
                </c:pt>
                <c:pt idx="4">
                  <c:v>3430</c:v>
                </c:pt>
                <c:pt idx="5">
                  <c:v>2275</c:v>
                </c:pt>
              </c:numCache>
            </c:numRef>
          </c:val>
          <c:extLst>
            <c:ext xmlns:c16="http://schemas.microsoft.com/office/drawing/2014/chart" uri="{C3380CC4-5D6E-409C-BE32-E72D297353CC}">
              <c16:uniqueId val="{00000000-43E6-4331-B62C-E82A9221EB0E}"/>
            </c:ext>
          </c:extLst>
        </c:ser>
        <c:dLbls>
          <c:showLegendKey val="0"/>
          <c:showVal val="0"/>
          <c:showCatName val="0"/>
          <c:showSerName val="0"/>
          <c:showPercent val="0"/>
          <c:showBubbleSize val="0"/>
        </c:dLbls>
        <c:gapWidth val="115"/>
        <c:overlap val="-20"/>
        <c:axId val="979718544"/>
        <c:axId val="974541072"/>
      </c:barChart>
      <c:catAx>
        <c:axId val="9797185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4541072"/>
        <c:crosses val="autoZero"/>
        <c:auto val="1"/>
        <c:lblAlgn val="ctr"/>
        <c:lblOffset val="100"/>
        <c:noMultiLvlLbl val="0"/>
      </c:catAx>
      <c:valAx>
        <c:axId val="974541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718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[CD364030.xlsx]pivote table !PivotTable3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DJ name</a:t>
            </a:r>
          </a:p>
        </c:rich>
      </c:tx>
      <c:layout>
        <c:manualLayout>
          <c:xMode val="edge"/>
          <c:yMode val="edge"/>
          <c:x val="0.23188119832566345"/>
          <c:y val="5.22918068105960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'pivote table '!$E$22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E5D-423E-9C0F-F9F7A97703A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FE5D-423E-9C0F-F9F7A97703A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E5D-423E-9C0F-F9F7A97703A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FE5D-423E-9C0F-F9F7A97703A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E5D-423E-9C0F-F9F7A97703A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FE5D-423E-9C0F-F9F7A97703AC}"/>
              </c:ext>
            </c:extLst>
          </c:dPt>
          <c:cat>
            <c:strRef>
              <c:f>'pivote table '!$D$23:$D$29</c:f>
              <c:strCache>
                <c:ptCount val="6"/>
                <c:pt idx="0">
                  <c:v>DJ Disco</c:v>
                </c:pt>
                <c:pt idx="1">
                  <c:v>DJ Hype</c:v>
                </c:pt>
                <c:pt idx="2">
                  <c:v>DJ Retro</c:v>
                </c:pt>
                <c:pt idx="3">
                  <c:v>Luna Eclipse</c:v>
                </c:pt>
                <c:pt idx="4">
                  <c:v>Neon Shadow</c:v>
                </c:pt>
                <c:pt idx="5">
                  <c:v>Vibe Commander</c:v>
                </c:pt>
              </c:strCache>
            </c:strRef>
          </c:cat>
          <c:val>
            <c:numRef>
              <c:f>'pivote table '!$E$23:$E$29</c:f>
              <c:numCache>
                <c:formatCode>General</c:formatCode>
                <c:ptCount val="6"/>
                <c:pt idx="0">
                  <c:v>90477.5</c:v>
                </c:pt>
                <c:pt idx="1">
                  <c:v>119821.5</c:v>
                </c:pt>
                <c:pt idx="2">
                  <c:v>39868</c:v>
                </c:pt>
                <c:pt idx="3">
                  <c:v>158349.5</c:v>
                </c:pt>
                <c:pt idx="4">
                  <c:v>29164.25</c:v>
                </c:pt>
                <c:pt idx="5">
                  <c:v>121580</c:v>
                </c:pt>
              </c:numCache>
            </c:numRef>
          </c:val>
          <c:extLst>
            <c:ext xmlns:c16="http://schemas.microsoft.com/office/drawing/2014/chart" uri="{C3380CC4-5D6E-409C-BE32-E72D297353CC}">
              <c16:uniqueId val="{0000000D-FE5D-423E-9C0F-F9F7A97703A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[CD364030.xlsx]pivote table !PivotTable4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block Hours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 '!$K$22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'pivote table '!$J$23:$J$29</c:f>
              <c:strCache>
                <c:ptCount val="6"/>
                <c:pt idx="0">
                  <c:v>21:00-22:00</c:v>
                </c:pt>
                <c:pt idx="1">
                  <c:v>22:00-23:00</c:v>
                </c:pt>
                <c:pt idx="2">
                  <c:v>02:00-03:00</c:v>
                </c:pt>
                <c:pt idx="3">
                  <c:v>23:00-00:00</c:v>
                </c:pt>
                <c:pt idx="4">
                  <c:v>00:00-01:00</c:v>
                </c:pt>
                <c:pt idx="5">
                  <c:v>01:00-02:00</c:v>
                </c:pt>
              </c:strCache>
            </c:strRef>
          </c:cat>
          <c:val>
            <c:numRef>
              <c:f>'pivote table '!$K$23:$K$29</c:f>
              <c:numCache>
                <c:formatCode>General</c:formatCode>
                <c:ptCount val="6"/>
                <c:pt idx="0">
                  <c:v>53288</c:v>
                </c:pt>
                <c:pt idx="1">
                  <c:v>69568.5</c:v>
                </c:pt>
                <c:pt idx="2">
                  <c:v>85146.25</c:v>
                </c:pt>
                <c:pt idx="3">
                  <c:v>102648.5</c:v>
                </c:pt>
                <c:pt idx="4">
                  <c:v>121698.25</c:v>
                </c:pt>
                <c:pt idx="5">
                  <c:v>126911.25</c:v>
                </c:pt>
              </c:numCache>
            </c:numRef>
          </c:val>
          <c:smooth val="0"/>
          <c:extLst>
            <c:ext xmlns:c16="http://schemas.microsoft.com/office/drawing/2014/chart" uri="{C3380CC4-5D6E-409C-BE32-E72D297353CC}">
              <c16:uniqueId val="{00000000-4620-4B38-924B-3EEEBD2AC3A9}"/>
            </c:ext>
          </c:extLst>
        </c:ser>
        <c:dLbls>
          <c:showLegendKey val="0"/>
          <c:showVal val="0"/>
          <c:showCatName val="0"/>
          <c:showSerName val="0"/>
          <c:showPercent val="0"/>
          <c:showBubbleSize val="0"/>
        </c:dLbls>
        <c:marker val="1"/>
        <c:smooth val="0"/>
        <c:axId val="966652016"/>
        <c:axId val="1448610080"/>
      </c:lineChart>
      <c:catAx>
        <c:axId val="9666520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8610080"/>
        <c:crosses val="autoZero"/>
        <c:auto val="1"/>
        <c:lblAlgn val="ctr"/>
        <c:lblOffset val="100"/>
        <c:noMultiLvlLbl val="0"/>
      </c:catAx>
      <c:valAx>
        <c:axId val="1448610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665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Drink</a:t>
            </a:r>
            <a:r>
              <a:rPr lang="en-US" baseline="0"/>
              <a:t> sales vs. Guest count</a:t>
            </a:r>
            <a:endParaRPr lang="en-US"/>
          </a:p>
        </c:rich>
      </c:tx>
      <c:layout>
        <c:manualLayout>
          <c:xMode val="edge"/>
          <c:yMode val="edge"/>
          <c:x val="0.30509112740664779"/>
          <c:y val="4.785402777669226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5203937007874019"/>
          <c:y val="0.20875000000000005"/>
          <c:w val="0.78679258020849996"/>
          <c:h val="0.62271617089530473"/>
        </c:manualLayout>
      </c:layout>
      <c:scatterChart>
        <c:scatterStyle val="lineMarker"/>
        <c:varyColors val="0"/>
        <c:ser>
          <c:idx val="0"/>
          <c:order val="0"/>
          <c:tx>
            <c:strRef>
              <c:f>'Sheet1 (2)'!$H$1</c:f>
              <c:strCache>
                <c:ptCount val="1"/>
                <c:pt idx="0">
                  <c:v>Guest_Count</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'Sheet1 (2)'!$G$2:$G$201</c:f>
              <c:numCache>
                <c:formatCode>General</c:formatCode>
                <c:ptCount val="200"/>
                <c:pt idx="0">
                  <c:v>1420.5</c:v>
                </c:pt>
                <c:pt idx="1">
                  <c:v>1850</c:v>
                </c:pt>
                <c:pt idx="2">
                  <c:v>2940.25</c:v>
                </c:pt>
                <c:pt idx="3">
                  <c:v>3610</c:v>
                </c:pt>
                <c:pt idx="4">
                  <c:v>3120.75</c:v>
                </c:pt>
                <c:pt idx="5">
                  <c:v>1980.5</c:v>
                </c:pt>
                <c:pt idx="6">
                  <c:v>980</c:v>
                </c:pt>
                <c:pt idx="7">
                  <c:v>1240.25</c:v>
                </c:pt>
                <c:pt idx="8">
                  <c:v>1750.5</c:v>
                </c:pt>
                <c:pt idx="9">
                  <c:v>2100</c:v>
                </c:pt>
                <c:pt idx="10">
                  <c:v>3340.5</c:v>
                </c:pt>
                <c:pt idx="11">
                  <c:v>2210</c:v>
                </c:pt>
                <c:pt idx="12">
                  <c:v>1680.75</c:v>
                </c:pt>
                <c:pt idx="13">
                  <c:v>2240</c:v>
                </c:pt>
                <c:pt idx="14">
                  <c:v>3480.5</c:v>
                </c:pt>
                <c:pt idx="15">
                  <c:v>4250</c:v>
                </c:pt>
                <c:pt idx="16">
                  <c:v>3890.25</c:v>
                </c:pt>
                <c:pt idx="17">
                  <c:v>2640</c:v>
                </c:pt>
                <c:pt idx="18">
                  <c:v>1950</c:v>
                </c:pt>
                <c:pt idx="19">
                  <c:v>2600.5</c:v>
                </c:pt>
                <c:pt idx="20">
                  <c:v>4100.75</c:v>
                </c:pt>
                <c:pt idx="21">
                  <c:v>4980</c:v>
                </c:pt>
                <c:pt idx="22">
                  <c:v>4320.5</c:v>
                </c:pt>
                <c:pt idx="23">
                  <c:v>2950</c:v>
                </c:pt>
                <c:pt idx="24">
                  <c:v>1050.5</c:v>
                </c:pt>
                <c:pt idx="25">
                  <c:v>1310</c:v>
                </c:pt>
                <c:pt idx="26">
                  <c:v>1680.25</c:v>
                </c:pt>
                <c:pt idx="27">
                  <c:v>1980.5</c:v>
                </c:pt>
                <c:pt idx="28">
                  <c:v>2840</c:v>
                </c:pt>
                <c:pt idx="29">
                  <c:v>1820.25</c:v>
                </c:pt>
                <c:pt idx="30">
                  <c:v>1120</c:v>
                </c:pt>
                <c:pt idx="31">
                  <c:v>1450.5</c:v>
                </c:pt>
                <c:pt idx="32">
                  <c:v>2100.25</c:v>
                </c:pt>
                <c:pt idx="33">
                  <c:v>2550</c:v>
                </c:pt>
                <c:pt idx="34">
                  <c:v>3410.5</c:v>
                </c:pt>
                <c:pt idx="35">
                  <c:v>2150</c:v>
                </c:pt>
                <c:pt idx="36">
                  <c:v>1750.5</c:v>
                </c:pt>
                <c:pt idx="37">
                  <c:v>2380</c:v>
                </c:pt>
                <c:pt idx="38">
                  <c:v>3650.5</c:v>
                </c:pt>
                <c:pt idx="39">
                  <c:v>4410.25</c:v>
                </c:pt>
                <c:pt idx="40">
                  <c:v>3950</c:v>
                </c:pt>
                <c:pt idx="41">
                  <c:v>2710.5</c:v>
                </c:pt>
                <c:pt idx="42">
                  <c:v>2100</c:v>
                </c:pt>
                <c:pt idx="43">
                  <c:v>2850.25</c:v>
                </c:pt>
                <c:pt idx="44">
                  <c:v>4350.5</c:v>
                </c:pt>
                <c:pt idx="45">
                  <c:v>5120</c:v>
                </c:pt>
                <c:pt idx="46">
                  <c:v>4510.75</c:v>
                </c:pt>
                <c:pt idx="47">
                  <c:v>3100</c:v>
                </c:pt>
                <c:pt idx="48">
                  <c:v>950</c:v>
                </c:pt>
                <c:pt idx="49">
                  <c:v>1200.5</c:v>
                </c:pt>
                <c:pt idx="50">
                  <c:v>1590</c:v>
                </c:pt>
                <c:pt idx="51">
                  <c:v>1850.25</c:v>
                </c:pt>
                <c:pt idx="52">
                  <c:v>2650.5</c:v>
                </c:pt>
                <c:pt idx="53">
                  <c:v>1710</c:v>
                </c:pt>
                <c:pt idx="54">
                  <c:v>1080.25</c:v>
                </c:pt>
                <c:pt idx="55">
                  <c:v>1380</c:v>
                </c:pt>
                <c:pt idx="56">
                  <c:v>2220.5</c:v>
                </c:pt>
                <c:pt idx="57">
                  <c:v>2680</c:v>
                </c:pt>
                <c:pt idx="58">
                  <c:v>3550.25</c:v>
                </c:pt>
                <c:pt idx="59">
                  <c:v>2280</c:v>
                </c:pt>
                <c:pt idx="60">
                  <c:v>1820</c:v>
                </c:pt>
                <c:pt idx="61">
                  <c:v>2450.5</c:v>
                </c:pt>
                <c:pt idx="62">
                  <c:v>3720</c:v>
                </c:pt>
                <c:pt idx="63">
                  <c:v>4550.75</c:v>
                </c:pt>
                <c:pt idx="64">
                  <c:v>4120</c:v>
                </c:pt>
                <c:pt idx="65">
                  <c:v>2850.25</c:v>
                </c:pt>
                <c:pt idx="66">
                  <c:v>2250.5</c:v>
                </c:pt>
                <c:pt idx="67">
                  <c:v>2980</c:v>
                </c:pt>
                <c:pt idx="68">
                  <c:v>4580.25</c:v>
                </c:pt>
                <c:pt idx="69">
                  <c:v>5340.5</c:v>
                </c:pt>
                <c:pt idx="70">
                  <c:v>4720</c:v>
                </c:pt>
                <c:pt idx="71">
                  <c:v>3250.5</c:v>
                </c:pt>
                <c:pt idx="72">
                  <c:v>920.5</c:v>
                </c:pt>
                <c:pt idx="73">
                  <c:v>1150</c:v>
                </c:pt>
                <c:pt idx="74">
                  <c:v>1520.75</c:v>
                </c:pt>
                <c:pt idx="75">
                  <c:v>1790</c:v>
                </c:pt>
                <c:pt idx="76">
                  <c:v>2520.5</c:v>
                </c:pt>
                <c:pt idx="77">
                  <c:v>1620</c:v>
                </c:pt>
                <c:pt idx="78">
                  <c:v>1150</c:v>
                </c:pt>
                <c:pt idx="79">
                  <c:v>1420.75</c:v>
                </c:pt>
                <c:pt idx="80">
                  <c:v>2310</c:v>
                </c:pt>
                <c:pt idx="81">
                  <c:v>2750.5</c:v>
                </c:pt>
                <c:pt idx="82">
                  <c:v>3680</c:v>
                </c:pt>
                <c:pt idx="83">
                  <c:v>2350.25</c:v>
                </c:pt>
                <c:pt idx="84">
                  <c:v>1890.5</c:v>
                </c:pt>
                <c:pt idx="85">
                  <c:v>2520</c:v>
                </c:pt>
                <c:pt idx="86">
                  <c:v>3810.25</c:v>
                </c:pt>
                <c:pt idx="87">
                  <c:v>4680.5</c:v>
                </c:pt>
                <c:pt idx="88">
                  <c:v>4250</c:v>
                </c:pt>
                <c:pt idx="89">
                  <c:v>2920.75</c:v>
                </c:pt>
                <c:pt idx="90">
                  <c:v>2380</c:v>
                </c:pt>
                <c:pt idx="91">
                  <c:v>3120.5</c:v>
                </c:pt>
                <c:pt idx="92">
                  <c:v>4750</c:v>
                </c:pt>
                <c:pt idx="93">
                  <c:v>5500.25</c:v>
                </c:pt>
                <c:pt idx="94">
                  <c:v>4910.5</c:v>
                </c:pt>
                <c:pt idx="95">
                  <c:v>3380</c:v>
                </c:pt>
                <c:pt idx="96">
                  <c:v>900</c:v>
                </c:pt>
                <c:pt idx="97">
                  <c:v>1110.5</c:v>
                </c:pt>
                <c:pt idx="98">
                  <c:v>1480</c:v>
                </c:pt>
                <c:pt idx="99">
                  <c:v>1720.25</c:v>
                </c:pt>
                <c:pt idx="100">
                  <c:v>2460.5</c:v>
                </c:pt>
                <c:pt idx="101">
                  <c:v>1580</c:v>
                </c:pt>
                <c:pt idx="102">
                  <c:v>1180.5</c:v>
                </c:pt>
                <c:pt idx="103">
                  <c:v>1480</c:v>
                </c:pt>
                <c:pt idx="104">
                  <c:v>2420.25</c:v>
                </c:pt>
                <c:pt idx="105">
                  <c:v>2890.5</c:v>
                </c:pt>
                <c:pt idx="106">
                  <c:v>3820</c:v>
                </c:pt>
                <c:pt idx="107">
                  <c:v>2450.75</c:v>
                </c:pt>
                <c:pt idx="108">
                  <c:v>1940</c:v>
                </c:pt>
                <c:pt idx="109">
                  <c:v>2610.5</c:v>
                </c:pt>
                <c:pt idx="110">
                  <c:v>3950</c:v>
                </c:pt>
                <c:pt idx="111">
                  <c:v>4780.25</c:v>
                </c:pt>
                <c:pt idx="112">
                  <c:v>4380.5</c:v>
                </c:pt>
                <c:pt idx="113">
                  <c:v>3050</c:v>
                </c:pt>
                <c:pt idx="114">
                  <c:v>2450.5</c:v>
                </c:pt>
                <c:pt idx="115">
                  <c:v>3240</c:v>
                </c:pt>
                <c:pt idx="116">
                  <c:v>4920.75</c:v>
                </c:pt>
                <c:pt idx="117">
                  <c:v>5680</c:v>
                </c:pt>
                <c:pt idx="118">
                  <c:v>5100.25</c:v>
                </c:pt>
                <c:pt idx="119">
                  <c:v>3520.5</c:v>
                </c:pt>
                <c:pt idx="120">
                  <c:v>880</c:v>
                </c:pt>
                <c:pt idx="121">
                  <c:v>1080.25</c:v>
                </c:pt>
                <c:pt idx="122">
                  <c:v>1420.5</c:v>
                </c:pt>
                <c:pt idx="123">
                  <c:v>1650</c:v>
                </c:pt>
                <c:pt idx="124">
                  <c:v>2380.75</c:v>
                </c:pt>
                <c:pt idx="125">
                  <c:v>1520</c:v>
                </c:pt>
                <c:pt idx="126">
                  <c:v>1210</c:v>
                </c:pt>
                <c:pt idx="127">
                  <c:v>1520.5</c:v>
                </c:pt>
                <c:pt idx="128">
                  <c:v>2500</c:v>
                </c:pt>
                <c:pt idx="129">
                  <c:v>2980.25</c:v>
                </c:pt>
                <c:pt idx="130">
                  <c:v>3950.5</c:v>
                </c:pt>
                <c:pt idx="131">
                  <c:v>2540</c:v>
                </c:pt>
                <c:pt idx="132">
                  <c:v>1990.5</c:v>
                </c:pt>
                <c:pt idx="133">
                  <c:v>2690</c:v>
                </c:pt>
                <c:pt idx="134">
                  <c:v>4100.25</c:v>
                </c:pt>
                <c:pt idx="135">
                  <c:v>4920.5</c:v>
                </c:pt>
                <c:pt idx="136">
                  <c:v>4520</c:v>
                </c:pt>
                <c:pt idx="137">
                  <c:v>3150.75</c:v>
                </c:pt>
                <c:pt idx="138">
                  <c:v>2520</c:v>
                </c:pt>
                <c:pt idx="139">
                  <c:v>3350.5</c:v>
                </c:pt>
                <c:pt idx="140">
                  <c:v>5050</c:v>
                </c:pt>
                <c:pt idx="141">
                  <c:v>5820.75</c:v>
                </c:pt>
                <c:pt idx="142">
                  <c:v>5250.5</c:v>
                </c:pt>
                <c:pt idx="143">
                  <c:v>3640</c:v>
                </c:pt>
                <c:pt idx="144">
                  <c:v>850.5</c:v>
                </c:pt>
                <c:pt idx="145">
                  <c:v>1040</c:v>
                </c:pt>
                <c:pt idx="146">
                  <c:v>1380.25</c:v>
                </c:pt>
                <c:pt idx="147">
                  <c:v>1600.5</c:v>
                </c:pt>
                <c:pt idx="148">
                  <c:v>2300</c:v>
                </c:pt>
                <c:pt idx="149">
                  <c:v>1480.25</c:v>
                </c:pt>
                <c:pt idx="150">
                  <c:v>1240.5</c:v>
                </c:pt>
                <c:pt idx="151">
                  <c:v>1560</c:v>
                </c:pt>
                <c:pt idx="152">
                  <c:v>2580.5</c:v>
                </c:pt>
                <c:pt idx="153">
                  <c:v>3060</c:v>
                </c:pt>
                <c:pt idx="154">
                  <c:v>4080.25</c:v>
                </c:pt>
                <c:pt idx="155">
                  <c:v>2620.5</c:v>
                </c:pt>
                <c:pt idx="156">
                  <c:v>2050</c:v>
                </c:pt>
                <c:pt idx="157">
                  <c:v>2760.5</c:v>
                </c:pt>
                <c:pt idx="158">
                  <c:v>4220</c:v>
                </c:pt>
                <c:pt idx="159">
                  <c:v>5050.75</c:v>
                </c:pt>
                <c:pt idx="160">
                  <c:v>4650</c:v>
                </c:pt>
                <c:pt idx="161">
                  <c:v>3240.5</c:v>
                </c:pt>
                <c:pt idx="162">
                  <c:v>2600.5</c:v>
                </c:pt>
                <c:pt idx="163">
                  <c:v>3420</c:v>
                </c:pt>
                <c:pt idx="164">
                  <c:v>5180.25</c:v>
                </c:pt>
                <c:pt idx="165">
                  <c:v>5950</c:v>
                </c:pt>
                <c:pt idx="166">
                  <c:v>5380.75</c:v>
                </c:pt>
                <c:pt idx="167">
                  <c:v>3750</c:v>
                </c:pt>
                <c:pt idx="168">
                  <c:v>820</c:v>
                </c:pt>
                <c:pt idx="169">
                  <c:v>1000.5</c:v>
                </c:pt>
                <c:pt idx="170">
                  <c:v>1320</c:v>
                </c:pt>
                <c:pt idx="171">
                  <c:v>1550.25</c:v>
                </c:pt>
                <c:pt idx="172">
                  <c:v>2220.5</c:v>
                </c:pt>
                <c:pt idx="173">
                  <c:v>1420</c:v>
                </c:pt>
                <c:pt idx="174">
                  <c:v>1270</c:v>
                </c:pt>
                <c:pt idx="175">
                  <c:v>1600.5</c:v>
                </c:pt>
                <c:pt idx="176">
                  <c:v>2650</c:v>
                </c:pt>
                <c:pt idx="177">
                  <c:v>3140.25</c:v>
                </c:pt>
                <c:pt idx="178">
                  <c:v>4200.5</c:v>
                </c:pt>
                <c:pt idx="179">
                  <c:v>2700</c:v>
                </c:pt>
                <c:pt idx="180">
                  <c:v>2110.5</c:v>
                </c:pt>
                <c:pt idx="181">
                  <c:v>2840</c:v>
                </c:pt>
                <c:pt idx="182">
                  <c:v>4340.5</c:v>
                </c:pt>
                <c:pt idx="183">
                  <c:v>5180</c:v>
                </c:pt>
                <c:pt idx="184">
                  <c:v>4780.25</c:v>
                </c:pt>
                <c:pt idx="185">
                  <c:v>3320</c:v>
                </c:pt>
                <c:pt idx="186">
                  <c:v>2680</c:v>
                </c:pt>
                <c:pt idx="187">
                  <c:v>3500.5</c:v>
                </c:pt>
                <c:pt idx="188">
                  <c:v>5300</c:v>
                </c:pt>
                <c:pt idx="189">
                  <c:v>6080.25</c:v>
                </c:pt>
                <c:pt idx="190">
                  <c:v>5500.5</c:v>
                </c:pt>
                <c:pt idx="191">
                  <c:v>3860</c:v>
                </c:pt>
                <c:pt idx="192">
                  <c:v>800</c:v>
                </c:pt>
                <c:pt idx="193">
                  <c:v>980.5</c:v>
                </c:pt>
                <c:pt idx="194">
                  <c:v>1280</c:v>
                </c:pt>
                <c:pt idx="195">
                  <c:v>1500.25</c:v>
                </c:pt>
                <c:pt idx="196">
                  <c:v>2150.5</c:v>
                </c:pt>
                <c:pt idx="197">
                  <c:v>1380</c:v>
                </c:pt>
                <c:pt idx="198">
                  <c:v>1300.5</c:v>
                </c:pt>
                <c:pt idx="199">
                  <c:v>1640</c:v>
                </c:pt>
              </c:numCache>
            </c:numRef>
          </c:xVal>
          <c:yVal>
            <c:numRef>
              <c:f>'Sheet1 (2)'!$H$2:$H$201</c:f>
              <c:numCache>
                <c:formatCode>General</c:formatCode>
                <c:ptCount val="200"/>
                <c:pt idx="0">
                  <c:v>110</c:v>
                </c:pt>
                <c:pt idx="1">
                  <c:v>145</c:v>
                </c:pt>
                <c:pt idx="2">
                  <c:v>210</c:v>
                </c:pt>
                <c:pt idx="3">
                  <c:v>245</c:v>
                </c:pt>
                <c:pt idx="4">
                  <c:v>230</c:v>
                </c:pt>
                <c:pt idx="5">
                  <c:v>160</c:v>
                </c:pt>
                <c:pt idx="6">
                  <c:v>85</c:v>
                </c:pt>
                <c:pt idx="7">
                  <c:v>115</c:v>
                </c:pt>
                <c:pt idx="8">
                  <c:v>140</c:v>
                </c:pt>
                <c:pt idx="9">
                  <c:v>165</c:v>
                </c:pt>
                <c:pt idx="10">
                  <c:v>225</c:v>
                </c:pt>
                <c:pt idx="11">
                  <c:v>170</c:v>
                </c:pt>
                <c:pt idx="12">
                  <c:v>130</c:v>
                </c:pt>
                <c:pt idx="13">
                  <c:v>175</c:v>
                </c:pt>
                <c:pt idx="14">
                  <c:v>260</c:v>
                </c:pt>
                <c:pt idx="15">
                  <c:v>310</c:v>
                </c:pt>
                <c:pt idx="16">
                  <c:v>290</c:v>
                </c:pt>
                <c:pt idx="17">
                  <c:v>195</c:v>
                </c:pt>
                <c:pt idx="18">
                  <c:v>150</c:v>
                </c:pt>
                <c:pt idx="19">
                  <c:v>190</c:v>
                </c:pt>
                <c:pt idx="20">
                  <c:v>295</c:v>
                </c:pt>
                <c:pt idx="21">
                  <c:v>350</c:v>
                </c:pt>
                <c:pt idx="22">
                  <c:v>315</c:v>
                </c:pt>
                <c:pt idx="23">
                  <c:v>215</c:v>
                </c:pt>
                <c:pt idx="24">
                  <c:v>90</c:v>
                </c:pt>
                <c:pt idx="25">
                  <c:v>120</c:v>
                </c:pt>
                <c:pt idx="26">
                  <c:v>135</c:v>
                </c:pt>
                <c:pt idx="27">
                  <c:v>155</c:v>
                </c:pt>
                <c:pt idx="28">
                  <c:v>205</c:v>
                </c:pt>
                <c:pt idx="29">
                  <c:v>140</c:v>
                </c:pt>
                <c:pt idx="30">
                  <c:v>95</c:v>
                </c:pt>
                <c:pt idx="31">
                  <c:v>125</c:v>
                </c:pt>
                <c:pt idx="32">
                  <c:v>160</c:v>
                </c:pt>
                <c:pt idx="33">
                  <c:v>185</c:v>
                </c:pt>
                <c:pt idx="34">
                  <c:v>230</c:v>
                </c:pt>
                <c:pt idx="35">
                  <c:v>155</c:v>
                </c:pt>
                <c:pt idx="36">
                  <c:v>135</c:v>
                </c:pt>
                <c:pt idx="37">
                  <c:v>180</c:v>
                </c:pt>
                <c:pt idx="38">
                  <c:v>270</c:v>
                </c:pt>
                <c:pt idx="39">
                  <c:v>320</c:v>
                </c:pt>
                <c:pt idx="40">
                  <c:v>295</c:v>
                </c:pt>
                <c:pt idx="41">
                  <c:v>200</c:v>
                </c:pt>
                <c:pt idx="42">
                  <c:v>155</c:v>
                </c:pt>
                <c:pt idx="43">
                  <c:v>200</c:v>
                </c:pt>
                <c:pt idx="44">
                  <c:v>305</c:v>
                </c:pt>
                <c:pt idx="45">
                  <c:v>365</c:v>
                </c:pt>
                <c:pt idx="46">
                  <c:v>325</c:v>
                </c:pt>
                <c:pt idx="47">
                  <c:v>220</c:v>
                </c:pt>
                <c:pt idx="48">
                  <c:v>80</c:v>
                </c:pt>
                <c:pt idx="49">
                  <c:v>110</c:v>
                </c:pt>
                <c:pt idx="50">
                  <c:v>125</c:v>
                </c:pt>
                <c:pt idx="51">
                  <c:v>145</c:v>
                </c:pt>
                <c:pt idx="52">
                  <c:v>190</c:v>
                </c:pt>
                <c:pt idx="53">
                  <c:v>130</c:v>
                </c:pt>
                <c:pt idx="54">
                  <c:v>90</c:v>
                </c:pt>
                <c:pt idx="55">
                  <c:v>120</c:v>
                </c:pt>
                <c:pt idx="56">
                  <c:v>165</c:v>
                </c:pt>
                <c:pt idx="57">
                  <c:v>195</c:v>
                </c:pt>
                <c:pt idx="58">
                  <c:v>240</c:v>
                </c:pt>
                <c:pt idx="59">
                  <c:v>160</c:v>
                </c:pt>
                <c:pt idx="60">
                  <c:v>140</c:v>
                </c:pt>
                <c:pt idx="61">
                  <c:v>185</c:v>
                </c:pt>
                <c:pt idx="62">
                  <c:v>275</c:v>
                </c:pt>
                <c:pt idx="63">
                  <c:v>330</c:v>
                </c:pt>
                <c:pt idx="64">
                  <c:v>305</c:v>
                </c:pt>
                <c:pt idx="65">
                  <c:v>210</c:v>
                </c:pt>
                <c:pt idx="66">
                  <c:v>165</c:v>
                </c:pt>
                <c:pt idx="67">
                  <c:v>210</c:v>
                </c:pt>
                <c:pt idx="68">
                  <c:v>320</c:v>
                </c:pt>
                <c:pt idx="69">
                  <c:v>380</c:v>
                </c:pt>
                <c:pt idx="70">
                  <c:v>340</c:v>
                </c:pt>
                <c:pt idx="71">
                  <c:v>230</c:v>
                </c:pt>
                <c:pt idx="72">
                  <c:v>75</c:v>
                </c:pt>
                <c:pt idx="73">
                  <c:v>105</c:v>
                </c:pt>
                <c:pt idx="74">
                  <c:v>120</c:v>
                </c:pt>
                <c:pt idx="75">
                  <c:v>140</c:v>
                </c:pt>
                <c:pt idx="76">
                  <c:v>180</c:v>
                </c:pt>
                <c:pt idx="77">
                  <c:v>125</c:v>
                </c:pt>
                <c:pt idx="78">
                  <c:v>95</c:v>
                </c:pt>
                <c:pt idx="79">
                  <c:v>125</c:v>
                </c:pt>
                <c:pt idx="80">
                  <c:v>170</c:v>
                </c:pt>
                <c:pt idx="81">
                  <c:v>200</c:v>
                </c:pt>
                <c:pt idx="82">
                  <c:v>250</c:v>
                </c:pt>
                <c:pt idx="83">
                  <c:v>165</c:v>
                </c:pt>
                <c:pt idx="84">
                  <c:v>145</c:v>
                </c:pt>
                <c:pt idx="85">
                  <c:v>190</c:v>
                </c:pt>
                <c:pt idx="86">
                  <c:v>280</c:v>
                </c:pt>
                <c:pt idx="87">
                  <c:v>340</c:v>
                </c:pt>
                <c:pt idx="88">
                  <c:v>315</c:v>
                </c:pt>
                <c:pt idx="89">
                  <c:v>215</c:v>
                </c:pt>
                <c:pt idx="90">
                  <c:v>170</c:v>
                </c:pt>
                <c:pt idx="91">
                  <c:v>220</c:v>
                </c:pt>
                <c:pt idx="92">
                  <c:v>335</c:v>
                </c:pt>
                <c:pt idx="93">
                  <c:v>395</c:v>
                </c:pt>
                <c:pt idx="94">
                  <c:v>355</c:v>
                </c:pt>
                <c:pt idx="95">
                  <c:v>240</c:v>
                </c:pt>
                <c:pt idx="96">
                  <c:v>70</c:v>
                </c:pt>
                <c:pt idx="97">
                  <c:v>100</c:v>
                </c:pt>
                <c:pt idx="98">
                  <c:v>115</c:v>
                </c:pt>
                <c:pt idx="99">
                  <c:v>135</c:v>
                </c:pt>
                <c:pt idx="100">
                  <c:v>175</c:v>
                </c:pt>
                <c:pt idx="101">
                  <c:v>120</c:v>
                </c:pt>
                <c:pt idx="102">
                  <c:v>100</c:v>
                </c:pt>
                <c:pt idx="103">
                  <c:v>130</c:v>
                </c:pt>
                <c:pt idx="104">
                  <c:v>175</c:v>
                </c:pt>
                <c:pt idx="105">
                  <c:v>210</c:v>
                </c:pt>
                <c:pt idx="106">
                  <c:v>260</c:v>
                </c:pt>
                <c:pt idx="107">
                  <c:v>175</c:v>
                </c:pt>
                <c:pt idx="108">
                  <c:v>150</c:v>
                </c:pt>
                <c:pt idx="109">
                  <c:v>195</c:v>
                </c:pt>
                <c:pt idx="110">
                  <c:v>290</c:v>
                </c:pt>
                <c:pt idx="111">
                  <c:v>350</c:v>
                </c:pt>
                <c:pt idx="112">
                  <c:v>325</c:v>
                </c:pt>
                <c:pt idx="113">
                  <c:v>225</c:v>
                </c:pt>
                <c:pt idx="114">
                  <c:v>175</c:v>
                </c:pt>
                <c:pt idx="115">
                  <c:v>230</c:v>
                </c:pt>
                <c:pt idx="116">
                  <c:v>345</c:v>
                </c:pt>
                <c:pt idx="117">
                  <c:v>410</c:v>
                </c:pt>
                <c:pt idx="118">
                  <c:v>370</c:v>
                </c:pt>
                <c:pt idx="119">
                  <c:v>250</c:v>
                </c:pt>
                <c:pt idx="120">
                  <c:v>65</c:v>
                </c:pt>
                <c:pt idx="121">
                  <c:v>95</c:v>
                </c:pt>
                <c:pt idx="122">
                  <c:v>110</c:v>
                </c:pt>
                <c:pt idx="123">
                  <c:v>130</c:v>
                </c:pt>
                <c:pt idx="124">
                  <c:v>170</c:v>
                </c:pt>
                <c:pt idx="125">
                  <c:v>115</c:v>
                </c:pt>
                <c:pt idx="126">
                  <c:v>105</c:v>
                </c:pt>
                <c:pt idx="127">
                  <c:v>135</c:v>
                </c:pt>
                <c:pt idx="128">
                  <c:v>180</c:v>
                </c:pt>
                <c:pt idx="129">
                  <c:v>215</c:v>
                </c:pt>
                <c:pt idx="130">
                  <c:v>270</c:v>
                </c:pt>
                <c:pt idx="131">
                  <c:v>180</c:v>
                </c:pt>
                <c:pt idx="132">
                  <c:v>155</c:v>
                </c:pt>
                <c:pt idx="133">
                  <c:v>200</c:v>
                </c:pt>
                <c:pt idx="134">
                  <c:v>300</c:v>
                </c:pt>
                <c:pt idx="135">
                  <c:v>360</c:v>
                </c:pt>
                <c:pt idx="136">
                  <c:v>335</c:v>
                </c:pt>
                <c:pt idx="137">
                  <c:v>235</c:v>
                </c:pt>
                <c:pt idx="138">
                  <c:v>180</c:v>
                </c:pt>
                <c:pt idx="139">
                  <c:v>240</c:v>
                </c:pt>
                <c:pt idx="140">
                  <c:v>355</c:v>
                </c:pt>
                <c:pt idx="141">
                  <c:v>420</c:v>
                </c:pt>
                <c:pt idx="142">
                  <c:v>380</c:v>
                </c:pt>
                <c:pt idx="143">
                  <c:v>260</c:v>
                </c:pt>
                <c:pt idx="144">
                  <c:v>60</c:v>
                </c:pt>
                <c:pt idx="145">
                  <c:v>90</c:v>
                </c:pt>
                <c:pt idx="146">
                  <c:v>105</c:v>
                </c:pt>
                <c:pt idx="147">
                  <c:v>125</c:v>
                </c:pt>
                <c:pt idx="148">
                  <c:v>165</c:v>
                </c:pt>
                <c:pt idx="149">
                  <c:v>110</c:v>
                </c:pt>
                <c:pt idx="150">
                  <c:v>110</c:v>
                </c:pt>
                <c:pt idx="151">
                  <c:v>140</c:v>
                </c:pt>
                <c:pt idx="152">
                  <c:v>185</c:v>
                </c:pt>
                <c:pt idx="153">
                  <c:v>220</c:v>
                </c:pt>
                <c:pt idx="154">
                  <c:v>280</c:v>
                </c:pt>
                <c:pt idx="155">
                  <c:v>185</c:v>
                </c:pt>
                <c:pt idx="156">
                  <c:v>160</c:v>
                </c:pt>
                <c:pt idx="157">
                  <c:v>205</c:v>
                </c:pt>
                <c:pt idx="158">
                  <c:v>310</c:v>
                </c:pt>
                <c:pt idx="159">
                  <c:v>370</c:v>
                </c:pt>
                <c:pt idx="160">
                  <c:v>345</c:v>
                </c:pt>
                <c:pt idx="161">
                  <c:v>240</c:v>
                </c:pt>
                <c:pt idx="162">
                  <c:v>185</c:v>
                </c:pt>
                <c:pt idx="163">
                  <c:v>245</c:v>
                </c:pt>
                <c:pt idx="164">
                  <c:v>365</c:v>
                </c:pt>
                <c:pt idx="165">
                  <c:v>430</c:v>
                </c:pt>
                <c:pt idx="166">
                  <c:v>390</c:v>
                </c:pt>
                <c:pt idx="167">
                  <c:v>270</c:v>
                </c:pt>
                <c:pt idx="168">
                  <c:v>55</c:v>
                </c:pt>
                <c:pt idx="169">
                  <c:v>85</c:v>
                </c:pt>
                <c:pt idx="170">
                  <c:v>100</c:v>
                </c:pt>
                <c:pt idx="171">
                  <c:v>120</c:v>
                </c:pt>
                <c:pt idx="172">
                  <c:v>160</c:v>
                </c:pt>
                <c:pt idx="173">
                  <c:v>105</c:v>
                </c:pt>
                <c:pt idx="174">
                  <c:v>115</c:v>
                </c:pt>
                <c:pt idx="175">
                  <c:v>145</c:v>
                </c:pt>
                <c:pt idx="176">
                  <c:v>190</c:v>
                </c:pt>
                <c:pt idx="177">
                  <c:v>225</c:v>
                </c:pt>
                <c:pt idx="178">
                  <c:v>290</c:v>
                </c:pt>
                <c:pt idx="179">
                  <c:v>190</c:v>
                </c:pt>
                <c:pt idx="180">
                  <c:v>165</c:v>
                </c:pt>
                <c:pt idx="181">
                  <c:v>210</c:v>
                </c:pt>
                <c:pt idx="182">
                  <c:v>320</c:v>
                </c:pt>
                <c:pt idx="183">
                  <c:v>380</c:v>
                </c:pt>
                <c:pt idx="184">
                  <c:v>355</c:v>
                </c:pt>
                <c:pt idx="185">
                  <c:v>245</c:v>
                </c:pt>
                <c:pt idx="186">
                  <c:v>190</c:v>
                </c:pt>
                <c:pt idx="187">
                  <c:v>250</c:v>
                </c:pt>
                <c:pt idx="188">
                  <c:v>375</c:v>
                </c:pt>
                <c:pt idx="189">
                  <c:v>440</c:v>
                </c:pt>
                <c:pt idx="190">
                  <c:v>400</c:v>
                </c:pt>
                <c:pt idx="191">
                  <c:v>280</c:v>
                </c:pt>
                <c:pt idx="192">
                  <c:v>50</c:v>
                </c:pt>
                <c:pt idx="193">
                  <c:v>80</c:v>
                </c:pt>
                <c:pt idx="194">
                  <c:v>95</c:v>
                </c:pt>
                <c:pt idx="195">
                  <c:v>115</c:v>
                </c:pt>
                <c:pt idx="196">
                  <c:v>155</c:v>
                </c:pt>
                <c:pt idx="197">
                  <c:v>100</c:v>
                </c:pt>
                <c:pt idx="198">
                  <c:v>120</c:v>
                </c:pt>
                <c:pt idx="199">
                  <c:v>150</c:v>
                </c:pt>
              </c:numCache>
            </c:numRef>
          </c:yVal>
          <c:smooth val="0"/>
          <c:extLst>
            <c:ext xmlns:c16="http://schemas.microsoft.com/office/drawing/2014/chart" uri="{C3380CC4-5D6E-409C-BE32-E72D297353CC}">
              <c16:uniqueId val="{00000000-963F-4741-BC33-AA06C864411F}"/>
            </c:ext>
          </c:extLst>
        </c:ser>
        <c:dLbls>
          <c:showLegendKey val="0"/>
          <c:showVal val="0"/>
          <c:showCatName val="0"/>
          <c:showSerName val="0"/>
          <c:showPercent val="0"/>
          <c:showBubbleSize val="0"/>
        </c:dLbls>
        <c:axId val="263466575"/>
        <c:axId val="131735503"/>
      </c:scatterChart>
      <c:valAx>
        <c:axId val="2634665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Toyal Sales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735503"/>
        <c:crosses val="autoZero"/>
        <c:crossBetween val="midCat"/>
      </c:valAx>
      <c:valAx>
        <c:axId val="13173550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count guest</a:t>
                </a:r>
              </a:p>
              <a:p>
                <a:pPr>
                  <a:defRPr/>
                </a:pP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34665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394912</xdr:colOff>
      <xdr:row>41</xdr:row>
      <xdr:rowOff>28121</xdr:rowOff>
    </xdr:from>
    <xdr:to>
      <xdr:col>32</xdr:col>
      <xdr:colOff>34427</xdr:colOff>
      <xdr:row>57</xdr:row>
      <xdr:rowOff>111535</xdr:rowOff>
    </xdr:to>
    <xdr:graphicFrame macro="">
      <xdr:nvGraphicFramePr>
        <xdr:cNvPr id="3" name="Chart 2">
          <a:extLst>
            <a:ext uri="{FF2B5EF4-FFF2-40B4-BE49-F238E27FC236}">
              <a16:creationId xmlns:a16="http://schemas.microsoft.com/office/drawing/2014/main" id="{EA65CEE1-49FF-49F6-A4B6-91F5A3315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390254</xdr:colOff>
      <xdr:row>30</xdr:row>
      <xdr:rowOff>22859</xdr:rowOff>
    </xdr:from>
    <xdr:to>
      <xdr:col>9</xdr:col>
      <xdr:colOff>315840</xdr:colOff>
      <xdr:row>41</xdr:row>
      <xdr:rowOff>7620</xdr:rowOff>
    </xdr:to>
    <xdr:graphicFrame macro="">
      <xdr:nvGraphicFramePr>
        <xdr:cNvPr id="5" name="Chart 4">
          <a:extLst>
            <a:ext uri="{FF2B5EF4-FFF2-40B4-BE49-F238E27FC236}">
              <a16:creationId xmlns:a16="http://schemas.microsoft.com/office/drawing/2014/main" id="{21F580E2-E3A5-4C2F-9167-5CBA09A2A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401683</xdr:colOff>
      <xdr:row>30</xdr:row>
      <xdr:rowOff>10960</xdr:rowOff>
    </xdr:from>
    <xdr:to>
      <xdr:col>16</xdr:col>
      <xdr:colOff>381001</xdr:colOff>
      <xdr:row>41</xdr:row>
      <xdr:rowOff>19596</xdr:rowOff>
    </xdr:to>
    <xdr:graphicFrame macro="">
      <xdr:nvGraphicFramePr>
        <xdr:cNvPr id="7" name="Chart 6">
          <a:extLst>
            <a:ext uri="{FF2B5EF4-FFF2-40B4-BE49-F238E27FC236}">
              <a16:creationId xmlns:a16="http://schemas.microsoft.com/office/drawing/2014/main" id="{13DAF2E6-2A3D-4211-BBE5-E5ADC7DF4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486689</xdr:colOff>
      <xdr:row>30</xdr:row>
      <xdr:rowOff>2721</xdr:rowOff>
    </xdr:from>
    <xdr:to>
      <xdr:col>24</xdr:col>
      <xdr:colOff>220579</xdr:colOff>
      <xdr:row>41</xdr:row>
      <xdr:rowOff>2722</xdr:rowOff>
    </xdr:to>
    <xdr:graphicFrame macro="">
      <xdr:nvGraphicFramePr>
        <xdr:cNvPr id="9" name="Chart 8">
          <a:extLst>
            <a:ext uri="{FF2B5EF4-FFF2-40B4-BE49-F238E27FC236}">
              <a16:creationId xmlns:a16="http://schemas.microsoft.com/office/drawing/2014/main" id="{A97D55C8-28E7-4114-BA55-02250269F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264289</xdr:colOff>
      <xdr:row>29</xdr:row>
      <xdr:rowOff>115981</xdr:rowOff>
    </xdr:from>
    <xdr:to>
      <xdr:col>31</xdr:col>
      <xdr:colOff>596487</xdr:colOff>
      <xdr:row>40</xdr:row>
      <xdr:rowOff>167451</xdr:rowOff>
    </xdr:to>
    <xdr:graphicFrame macro="">
      <xdr:nvGraphicFramePr>
        <xdr:cNvPr id="11" name="Chart 10">
          <a:extLst>
            <a:ext uri="{FF2B5EF4-FFF2-40B4-BE49-F238E27FC236}">
              <a16:creationId xmlns:a16="http://schemas.microsoft.com/office/drawing/2014/main" id="{39A22776-8D80-438C-8CAA-F48D0FA7D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32</xdr:col>
      <xdr:colOff>200259</xdr:colOff>
      <xdr:row>43</xdr:row>
      <xdr:rowOff>1</xdr:rowOff>
    </xdr:from>
    <xdr:to>
      <xdr:col>36</xdr:col>
      <xdr:colOff>236777</xdr:colOff>
      <xdr:row>57</xdr:row>
      <xdr:rowOff>87923</xdr:rowOff>
    </xdr:to>
    <mc:AlternateContent xmlns:mc="http://schemas.openxmlformats.org/markup-compatibility/2006" xmlns:a14="http://schemas.microsoft.com/office/drawing/2010/main">
      <mc:Choice Requires="a14">
        <xdr:graphicFrame macro="">
          <xdr:nvGraphicFramePr>
            <xdr:cNvPr id="15" name="DJ_Name">
              <a:extLst>
                <a:ext uri="{FF2B5EF4-FFF2-40B4-BE49-F238E27FC236}">
                  <a16:creationId xmlns:a16="http://schemas.microsoft.com/office/drawing/2014/main" id="{E7DE4858-F162-4D71-9C00-CCB519A6800B}"/>
                </a:ext>
              </a:extLst>
            </xdr:cNvPr>
            <xdr:cNvGraphicFramePr/>
          </xdr:nvGraphicFramePr>
          <xdr:xfrm>
            <a:off x="0" y="0"/>
            <a:ext cx="0" cy="0"/>
          </xdr:xfrm>
          <a:graphic>
            <a:graphicData uri="http://schemas.microsoft.com/office/drawing/2010/slicer">
              <sle:slicer xmlns:sle="http://schemas.microsoft.com/office/drawing/2010/slicer" name="DJ_Name"/>
            </a:graphicData>
          </a:graphic>
        </xdr:graphicFrame>
      </mc:Choice>
      <mc:Fallback xmlns="">
        <xdr:sp macro="" textlink="">
          <xdr:nvSpPr>
            <xdr:cNvPr id="0" name=""/>
            <xdr:cNvSpPr>
              <a:spLocks noTextEdit="1"/>
            </xdr:cNvSpPr>
          </xdr:nvSpPr>
          <xdr:spPr>
            <a:xfrm>
              <a:off x="19826405" y="7991708"/>
              <a:ext cx="2489787" cy="26898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561474</xdr:colOff>
      <xdr:row>22</xdr:row>
      <xdr:rowOff>20052</xdr:rowOff>
    </xdr:from>
    <xdr:to>
      <xdr:col>20</xdr:col>
      <xdr:colOff>223025</xdr:colOff>
      <xdr:row>29</xdr:row>
      <xdr:rowOff>80210</xdr:rowOff>
    </xdr:to>
    <xdr:sp macro="" textlink="'pivote table '!F36">
      <xdr:nvSpPr>
        <xdr:cNvPr id="16" name="TextBox 15">
          <a:extLst>
            <a:ext uri="{FF2B5EF4-FFF2-40B4-BE49-F238E27FC236}">
              <a16:creationId xmlns:a16="http://schemas.microsoft.com/office/drawing/2014/main" id="{9CC6BB83-3935-8CFA-F8D6-9676F974593D}"/>
            </a:ext>
          </a:extLst>
        </xdr:cNvPr>
        <xdr:cNvSpPr txBox="1"/>
      </xdr:nvSpPr>
      <xdr:spPr>
        <a:xfrm>
          <a:off x="8534596" y="4108832"/>
          <a:ext cx="3954770" cy="1361134"/>
        </a:xfrm>
        <a:prstGeom prst="rect">
          <a:avLst/>
        </a:prstGeom>
        <a:solidFill>
          <a:schemeClr val="bg2">
            <a:lumMod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1CAA96-98CD-4CBA-925B-C1AFDFDB90AA}" type="TxLink">
            <a:rPr lang="en-US" sz="3200" b="0" i="0" u="none" strike="noStrike">
              <a:solidFill>
                <a:srgbClr val="000000"/>
              </a:solidFill>
              <a:latin typeface="Calibri"/>
              <a:ea typeface="Calibri"/>
              <a:cs typeface="Calibri"/>
            </a:rPr>
            <a:pPr algn="ctr"/>
            <a:t>£2,796.30</a:t>
          </a:fld>
          <a:endParaRPr lang="en-GB" sz="3200"/>
        </a:p>
      </xdr:txBody>
    </xdr:sp>
    <xdr:clientData/>
  </xdr:twoCellAnchor>
  <xdr:twoCellAnchor>
    <xdr:from>
      <xdr:col>1</xdr:col>
      <xdr:colOff>381000</xdr:colOff>
      <xdr:row>23</xdr:row>
      <xdr:rowOff>20053</xdr:rowOff>
    </xdr:from>
    <xdr:to>
      <xdr:col>9</xdr:col>
      <xdr:colOff>320840</xdr:colOff>
      <xdr:row>29</xdr:row>
      <xdr:rowOff>120316</xdr:rowOff>
    </xdr:to>
    <xdr:sp macro="" textlink="'pivote table '!F46">
      <xdr:nvSpPr>
        <xdr:cNvPr id="17" name="TextBox 16">
          <a:extLst>
            <a:ext uri="{FF2B5EF4-FFF2-40B4-BE49-F238E27FC236}">
              <a16:creationId xmlns:a16="http://schemas.microsoft.com/office/drawing/2014/main" id="{C5BC184F-ADB4-A640-20C5-52DB3FF385C6}"/>
            </a:ext>
          </a:extLst>
        </xdr:cNvPr>
        <xdr:cNvSpPr txBox="1"/>
      </xdr:nvSpPr>
      <xdr:spPr>
        <a:xfrm rot="10800000" flipH="1" flipV="1">
          <a:off x="982579" y="4170948"/>
          <a:ext cx="4752472" cy="1183105"/>
        </a:xfrm>
        <a:prstGeom prst="rect">
          <a:avLst/>
        </a:prstGeom>
        <a:solidFill>
          <a:schemeClr val="bg2">
            <a:lumMod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D1528E-5503-46F9-97AC-F68031572D61}" type="TxLink">
            <a:rPr lang="en-US" sz="3200" b="0" i="0" u="none" strike="noStrike">
              <a:solidFill>
                <a:srgbClr val="000000"/>
              </a:solidFill>
              <a:latin typeface="Calibri"/>
              <a:ea typeface="Calibri"/>
              <a:cs typeface="Calibri"/>
            </a:rPr>
            <a:pPr algn="ctr"/>
            <a:t>£559,260.75</a:t>
          </a:fld>
          <a:endParaRPr lang="en-GB" sz="3200"/>
        </a:p>
      </xdr:txBody>
    </xdr:sp>
    <xdr:clientData/>
  </xdr:twoCellAnchor>
  <xdr:twoCellAnchor>
    <xdr:from>
      <xdr:col>1</xdr:col>
      <xdr:colOff>353122</xdr:colOff>
      <xdr:row>14</xdr:row>
      <xdr:rowOff>111511</xdr:rowOff>
    </xdr:from>
    <xdr:to>
      <xdr:col>9</xdr:col>
      <xdr:colOff>320842</xdr:colOff>
      <xdr:row>23</xdr:row>
      <xdr:rowOff>92927</xdr:rowOff>
    </xdr:to>
    <xdr:sp macro="" textlink="">
      <xdr:nvSpPr>
        <xdr:cNvPr id="18" name="TextBox 17">
          <a:extLst>
            <a:ext uri="{FF2B5EF4-FFF2-40B4-BE49-F238E27FC236}">
              <a16:creationId xmlns:a16="http://schemas.microsoft.com/office/drawing/2014/main" id="{52A77237-16E5-920F-BF68-B8E37C5CF973}"/>
            </a:ext>
          </a:extLst>
        </xdr:cNvPr>
        <xdr:cNvSpPr txBox="1"/>
      </xdr:nvSpPr>
      <xdr:spPr>
        <a:xfrm>
          <a:off x="966439" y="2713462"/>
          <a:ext cx="4874257" cy="1654099"/>
        </a:xfrm>
        <a:prstGeom prst="rect">
          <a:avLst/>
        </a:prstGeom>
        <a:solidFill>
          <a:schemeClr val="bg2">
            <a:lumMod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aseline="0"/>
            <a:t>Total Sales</a:t>
          </a:r>
          <a:endParaRPr lang="en-GB" sz="3200"/>
        </a:p>
      </xdr:txBody>
    </xdr:sp>
    <xdr:clientData/>
  </xdr:twoCellAnchor>
  <xdr:twoCellAnchor>
    <xdr:from>
      <xdr:col>24</xdr:col>
      <xdr:colOff>340894</xdr:colOff>
      <xdr:row>22</xdr:row>
      <xdr:rowOff>160421</xdr:rowOff>
    </xdr:from>
    <xdr:to>
      <xdr:col>32</xdr:col>
      <xdr:colOff>60157</xdr:colOff>
      <xdr:row>29</xdr:row>
      <xdr:rowOff>100263</xdr:rowOff>
    </xdr:to>
    <xdr:sp macro="" textlink="'pivote table '!J36">
      <xdr:nvSpPr>
        <xdr:cNvPr id="19" name="TextBox 18">
          <a:extLst>
            <a:ext uri="{FF2B5EF4-FFF2-40B4-BE49-F238E27FC236}">
              <a16:creationId xmlns:a16="http://schemas.microsoft.com/office/drawing/2014/main" id="{CD9BE654-6411-A5E7-CF44-8DEACF33D596}"/>
            </a:ext>
          </a:extLst>
        </xdr:cNvPr>
        <xdr:cNvSpPr txBox="1"/>
      </xdr:nvSpPr>
      <xdr:spPr>
        <a:xfrm>
          <a:off x="14778789" y="4130842"/>
          <a:ext cx="4531894" cy="1203158"/>
        </a:xfrm>
        <a:prstGeom prst="rect">
          <a:avLst/>
        </a:prstGeom>
        <a:solidFill>
          <a:schemeClr val="bg2">
            <a:lumMod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2B6E91-4367-4647-928A-518753AEA20F}" type="TxLink">
            <a:rPr lang="en-US" sz="3200" b="0" i="0" u="none" strike="noStrike">
              <a:solidFill>
                <a:srgbClr val="000000"/>
              </a:solidFill>
              <a:latin typeface="Calibri"/>
              <a:ea typeface="Calibri"/>
              <a:cs typeface="Calibri"/>
            </a:rPr>
            <a:pPr algn="ctr"/>
            <a:t>41245</a:t>
          </a:fld>
          <a:endParaRPr lang="en-GB" sz="3200"/>
        </a:p>
      </xdr:txBody>
    </xdr:sp>
    <xdr:clientData/>
  </xdr:twoCellAnchor>
  <xdr:twoCellAnchor>
    <xdr:from>
      <xdr:col>13</xdr:col>
      <xdr:colOff>541420</xdr:colOff>
      <xdr:row>14</xdr:row>
      <xdr:rowOff>40105</xdr:rowOff>
    </xdr:from>
    <xdr:to>
      <xdr:col>20</xdr:col>
      <xdr:colOff>204438</xdr:colOff>
      <xdr:row>22</xdr:row>
      <xdr:rowOff>60158</xdr:rowOff>
    </xdr:to>
    <xdr:sp macro="" textlink="">
      <xdr:nvSpPr>
        <xdr:cNvPr id="20" name="TextBox 19">
          <a:extLst>
            <a:ext uri="{FF2B5EF4-FFF2-40B4-BE49-F238E27FC236}">
              <a16:creationId xmlns:a16="http://schemas.microsoft.com/office/drawing/2014/main" id="{040F108C-374F-9239-2F59-D852B7285D6C}"/>
            </a:ext>
          </a:extLst>
        </xdr:cNvPr>
        <xdr:cNvSpPr txBox="1"/>
      </xdr:nvSpPr>
      <xdr:spPr>
        <a:xfrm>
          <a:off x="8514542" y="2642056"/>
          <a:ext cx="3956237" cy="1506882"/>
        </a:xfrm>
        <a:prstGeom prst="rect">
          <a:avLst/>
        </a:prstGeom>
        <a:solidFill>
          <a:schemeClr val="bg2">
            <a:lumMod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a:t>Average Sales</a:t>
          </a:r>
        </a:p>
      </xdr:txBody>
    </xdr:sp>
    <xdr:clientData/>
  </xdr:twoCellAnchor>
  <xdr:twoCellAnchor>
    <xdr:from>
      <xdr:col>24</xdr:col>
      <xdr:colOff>340894</xdr:colOff>
      <xdr:row>14</xdr:row>
      <xdr:rowOff>40104</xdr:rowOff>
    </xdr:from>
    <xdr:to>
      <xdr:col>32</xdr:col>
      <xdr:colOff>40105</xdr:colOff>
      <xdr:row>22</xdr:row>
      <xdr:rowOff>160420</xdr:rowOff>
    </xdr:to>
    <xdr:sp macro="" textlink="">
      <xdr:nvSpPr>
        <xdr:cNvPr id="22" name="TextBox 21">
          <a:extLst>
            <a:ext uri="{FF2B5EF4-FFF2-40B4-BE49-F238E27FC236}">
              <a16:creationId xmlns:a16="http://schemas.microsoft.com/office/drawing/2014/main" id="{D3F123D1-38FE-2AEA-5992-109DB22E19EC}"/>
            </a:ext>
          </a:extLst>
        </xdr:cNvPr>
        <xdr:cNvSpPr txBox="1"/>
      </xdr:nvSpPr>
      <xdr:spPr>
        <a:xfrm>
          <a:off x="14778789" y="2566736"/>
          <a:ext cx="4511842" cy="1564105"/>
        </a:xfrm>
        <a:prstGeom prst="rect">
          <a:avLst/>
        </a:prstGeom>
        <a:solidFill>
          <a:schemeClr val="bg2">
            <a:lumMod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a:t>Count</a:t>
          </a:r>
          <a:r>
            <a:rPr lang="en-GB" sz="3200" baseline="0"/>
            <a:t> of Guest</a:t>
          </a:r>
          <a:endParaRPr lang="en-GB" sz="3200"/>
        </a:p>
      </xdr:txBody>
    </xdr:sp>
    <xdr:clientData/>
  </xdr:twoCellAnchor>
  <xdr:twoCellAnchor editAs="oneCell">
    <xdr:from>
      <xdr:col>32</xdr:col>
      <xdr:colOff>175846</xdr:colOff>
      <xdr:row>29</xdr:row>
      <xdr:rowOff>120315</xdr:rowOff>
    </xdr:from>
    <xdr:to>
      <xdr:col>36</xdr:col>
      <xdr:colOff>200526</xdr:colOff>
      <xdr:row>41</xdr:row>
      <xdr:rowOff>58616</xdr:rowOff>
    </xdr:to>
    <mc:AlternateContent xmlns:mc="http://schemas.openxmlformats.org/markup-compatibility/2006" xmlns:a14="http://schemas.microsoft.com/office/drawing/2010/main">
      <mc:Choice Requires="a14">
        <xdr:graphicFrame macro="">
          <xdr:nvGraphicFramePr>
            <xdr:cNvPr id="28" name="Primary_Genre">
              <a:extLst>
                <a:ext uri="{FF2B5EF4-FFF2-40B4-BE49-F238E27FC236}">
                  <a16:creationId xmlns:a16="http://schemas.microsoft.com/office/drawing/2014/main" id="{9AB66F23-ACFF-448B-892F-0EB297DB9FB6}"/>
                </a:ext>
              </a:extLst>
            </xdr:cNvPr>
            <xdr:cNvGraphicFramePr/>
          </xdr:nvGraphicFramePr>
          <xdr:xfrm>
            <a:off x="0" y="0"/>
            <a:ext cx="0" cy="0"/>
          </xdr:xfrm>
          <a:graphic>
            <a:graphicData uri="http://schemas.microsoft.com/office/drawing/2010/slicer">
              <sle:slicer xmlns:sle="http://schemas.microsoft.com/office/drawing/2010/slicer" name="Primary_Genre"/>
            </a:graphicData>
          </a:graphic>
        </xdr:graphicFrame>
      </mc:Choice>
      <mc:Fallback xmlns="">
        <xdr:sp macro="" textlink="">
          <xdr:nvSpPr>
            <xdr:cNvPr id="0" name=""/>
            <xdr:cNvSpPr>
              <a:spLocks noTextEdit="1"/>
            </xdr:cNvSpPr>
          </xdr:nvSpPr>
          <xdr:spPr>
            <a:xfrm>
              <a:off x="19801992" y="5510071"/>
              <a:ext cx="2477949" cy="21685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205153</xdr:colOff>
      <xdr:row>5</xdr:row>
      <xdr:rowOff>43961</xdr:rowOff>
    </xdr:from>
    <xdr:to>
      <xdr:col>26</xdr:col>
      <xdr:colOff>468922</xdr:colOff>
      <xdr:row>13</xdr:row>
      <xdr:rowOff>146538</xdr:rowOff>
    </xdr:to>
    <xdr:sp macro="" textlink="">
      <xdr:nvSpPr>
        <xdr:cNvPr id="29" name="Rectangle: Rounded Corners 28">
          <a:extLst>
            <a:ext uri="{FF2B5EF4-FFF2-40B4-BE49-F238E27FC236}">
              <a16:creationId xmlns:a16="http://schemas.microsoft.com/office/drawing/2014/main" id="{5DE9570E-211A-3405-F704-BA226C0DB5C5}"/>
            </a:ext>
          </a:extLst>
        </xdr:cNvPr>
        <xdr:cNvSpPr/>
      </xdr:nvSpPr>
      <xdr:spPr>
        <a:xfrm>
          <a:off x="3897922" y="923192"/>
          <a:ext cx="12573000" cy="1509346"/>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542194</xdr:colOff>
      <xdr:row>6</xdr:row>
      <xdr:rowOff>102577</xdr:rowOff>
    </xdr:from>
    <xdr:to>
      <xdr:col>25</xdr:col>
      <xdr:colOff>512885</xdr:colOff>
      <xdr:row>12</xdr:row>
      <xdr:rowOff>102577</xdr:rowOff>
    </xdr:to>
    <xdr:sp macro="" textlink="">
      <xdr:nvSpPr>
        <xdr:cNvPr id="30" name="TextBox 29">
          <a:extLst>
            <a:ext uri="{FF2B5EF4-FFF2-40B4-BE49-F238E27FC236}">
              <a16:creationId xmlns:a16="http://schemas.microsoft.com/office/drawing/2014/main" id="{57731174-6528-B8A7-5215-4339375CCF74}"/>
            </a:ext>
          </a:extLst>
        </xdr:cNvPr>
        <xdr:cNvSpPr txBox="1"/>
      </xdr:nvSpPr>
      <xdr:spPr>
        <a:xfrm>
          <a:off x="4234963" y="1157654"/>
          <a:ext cx="11664460" cy="1055077"/>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400">
              <a:solidFill>
                <a:schemeClr val="accent2">
                  <a:lumMod val="75000"/>
                </a:schemeClr>
              </a:solidFill>
            </a:rPr>
            <a:t>Music Genre vs Drink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main" refreshedDate="46170.002919560182" createdVersion="8" refreshedVersion="8" minRefreshableVersion="3" recordCount="200" xr:uid="{F8FD919C-9171-46AE-8CBB-2DC3FE41831A}">
  <cacheSource type="worksheet">
    <worksheetSource name="Sheet1"/>
  </cacheSource>
  <cacheFields count="10">
    <cacheField name="Session_ID" numFmtId="0">
      <sharedItems/>
    </cacheField>
    <cacheField name="Date" numFmtId="14">
      <sharedItems containsSemiMixedTypes="0" containsNonDate="0" containsDate="1" containsString="0" minDate="2026-04-01T00:00:00" maxDate="2026-05-29T00:00:00"/>
    </cacheField>
    <cacheField name="Hour_Block" numFmtId="0">
      <sharedItems count="6">
        <s v="21:00-22:00"/>
        <s v="22:00-23:00"/>
        <s v="23:00-00:00"/>
        <s v="00:00-01:00"/>
        <s v="01:00-02:00"/>
        <s v="02:00-03:00"/>
      </sharedItems>
    </cacheField>
    <cacheField name="DJ_Name" numFmtId="0">
      <sharedItems count="6">
        <s v="DJ Hype"/>
        <s v="Luna Eclipse"/>
        <s v="Vibe Commander"/>
        <s v="DJ Retro"/>
        <s v="Neon Shadow"/>
        <s v="DJ Disco"/>
      </sharedItems>
    </cacheField>
    <cacheField name="Primary_Genre" numFmtId="0">
      <sharedItems count="6">
        <s v="Hip-Hop"/>
        <s v="EDM"/>
        <s v="Reggaeton"/>
        <s v="80s Rock"/>
        <s v="Synthwave"/>
        <s v="House"/>
      </sharedItems>
    </cacheField>
    <cacheField name="Average_Decibels" numFmtId="0">
      <sharedItems containsSemiMixedTypes="0" containsString="0" containsNumber="1" minValue="87" maxValue="105.6"/>
    </cacheField>
    <cacheField name="Total_Drink_Sales_USD" numFmtId="0">
      <sharedItems containsSemiMixedTypes="0" containsString="0" containsNumber="1" minValue="800" maxValue="6080.25" count="180">
        <n v="1420.5"/>
        <n v="1850"/>
        <n v="2940.25"/>
        <n v="3610"/>
        <n v="3120.75"/>
        <n v="1980.5"/>
        <n v="980"/>
        <n v="1240.25"/>
        <n v="1750.5"/>
        <n v="2100"/>
        <n v="3340.5"/>
        <n v="2210"/>
        <n v="1680.75"/>
        <n v="2240"/>
        <n v="3480.5"/>
        <n v="4250"/>
        <n v="3890.25"/>
        <n v="2640"/>
        <n v="1950"/>
        <n v="2600.5"/>
        <n v="4100.75"/>
        <n v="4980"/>
        <n v="4320.5"/>
        <n v="2950"/>
        <n v="1050.5"/>
        <n v="1310"/>
        <n v="1680.25"/>
        <n v="2840"/>
        <n v="1820.25"/>
        <n v="1120"/>
        <n v="1450.5"/>
        <n v="2100.25"/>
        <n v="2550"/>
        <n v="3410.5"/>
        <n v="2150"/>
        <n v="2380"/>
        <n v="3650.5"/>
        <n v="4410.25"/>
        <n v="3950"/>
        <n v="2710.5"/>
        <n v="2850.25"/>
        <n v="4350.5"/>
        <n v="5120"/>
        <n v="4510.75"/>
        <n v="3100"/>
        <n v="950"/>
        <n v="1200.5"/>
        <n v="1590"/>
        <n v="1850.25"/>
        <n v="2650.5"/>
        <n v="1710"/>
        <n v="1080.25"/>
        <n v="1380"/>
        <n v="2220.5"/>
        <n v="2680"/>
        <n v="3550.25"/>
        <n v="2280"/>
        <n v="1820"/>
        <n v="2450.5"/>
        <n v="3720"/>
        <n v="4550.75"/>
        <n v="4120"/>
        <n v="2250.5"/>
        <n v="2980"/>
        <n v="4580.25"/>
        <n v="5340.5"/>
        <n v="4720"/>
        <n v="3250.5"/>
        <n v="920.5"/>
        <n v="1150"/>
        <n v="1520.75"/>
        <n v="1790"/>
        <n v="2520.5"/>
        <n v="1620"/>
        <n v="1420.75"/>
        <n v="2310"/>
        <n v="2750.5"/>
        <n v="3680"/>
        <n v="2350.25"/>
        <n v="1890.5"/>
        <n v="2520"/>
        <n v="3810.25"/>
        <n v="4680.5"/>
        <n v="2920.75"/>
        <n v="3120.5"/>
        <n v="4750"/>
        <n v="5500.25"/>
        <n v="4910.5"/>
        <n v="3380"/>
        <n v="900"/>
        <n v="1110.5"/>
        <n v="1480"/>
        <n v="1720.25"/>
        <n v="2460.5"/>
        <n v="1580"/>
        <n v="1180.5"/>
        <n v="2420.25"/>
        <n v="2890.5"/>
        <n v="3820"/>
        <n v="2450.75"/>
        <n v="1940"/>
        <n v="2610.5"/>
        <n v="4780.25"/>
        <n v="4380.5"/>
        <n v="3050"/>
        <n v="3240"/>
        <n v="4920.75"/>
        <n v="5680"/>
        <n v="5100.25"/>
        <n v="3520.5"/>
        <n v="880"/>
        <n v="1650"/>
        <n v="2380.75"/>
        <n v="1520"/>
        <n v="1210"/>
        <n v="1520.5"/>
        <n v="2500"/>
        <n v="2980.25"/>
        <n v="3950.5"/>
        <n v="2540"/>
        <n v="1990.5"/>
        <n v="2690"/>
        <n v="4100.25"/>
        <n v="4920.5"/>
        <n v="4520"/>
        <n v="3150.75"/>
        <n v="3350.5"/>
        <n v="5050"/>
        <n v="5820.75"/>
        <n v="5250.5"/>
        <n v="3640"/>
        <n v="850.5"/>
        <n v="1040"/>
        <n v="1380.25"/>
        <n v="1600.5"/>
        <n v="2300"/>
        <n v="1480.25"/>
        <n v="1240.5"/>
        <n v="1560"/>
        <n v="2580.5"/>
        <n v="3060"/>
        <n v="4080.25"/>
        <n v="2620.5"/>
        <n v="2050"/>
        <n v="2760.5"/>
        <n v="4220"/>
        <n v="5050.75"/>
        <n v="4650"/>
        <n v="3240.5"/>
        <n v="3420"/>
        <n v="5180.25"/>
        <n v="5950"/>
        <n v="5380.75"/>
        <n v="3750"/>
        <n v="820"/>
        <n v="1000.5"/>
        <n v="1320"/>
        <n v="1550.25"/>
        <n v="1420"/>
        <n v="1270"/>
        <n v="2650"/>
        <n v="3140.25"/>
        <n v="4200.5"/>
        <n v="2700"/>
        <n v="2110.5"/>
        <n v="4340.5"/>
        <n v="5180"/>
        <n v="3320"/>
        <n v="3500.5"/>
        <n v="5300"/>
        <n v="6080.25"/>
        <n v="5500.5"/>
        <n v="3860"/>
        <n v="800"/>
        <n v="980.5"/>
        <n v="1280"/>
        <n v="1500.25"/>
        <n v="2150.5"/>
        <n v="1300.5"/>
        <n v="1640"/>
      </sharedItems>
    </cacheField>
    <cacheField name="Guest_Count" numFmtId="0">
      <sharedItems containsSemiMixedTypes="0" containsString="0" containsNumber="1" containsInteger="1" minValue="50" maxValue="440" count="71">
        <n v="110"/>
        <n v="145"/>
        <n v="210"/>
        <n v="245"/>
        <n v="230"/>
        <n v="160"/>
        <n v="85"/>
        <n v="115"/>
        <n v="140"/>
        <n v="165"/>
        <n v="225"/>
        <n v="170"/>
        <n v="130"/>
        <n v="175"/>
        <n v="260"/>
        <n v="310"/>
        <n v="290"/>
        <n v="195"/>
        <n v="150"/>
        <n v="190"/>
        <n v="295"/>
        <n v="350"/>
        <n v="315"/>
        <n v="215"/>
        <n v="90"/>
        <n v="120"/>
        <n v="135"/>
        <n v="155"/>
        <n v="205"/>
        <n v="95"/>
        <n v="125"/>
        <n v="185"/>
        <n v="180"/>
        <n v="270"/>
        <n v="320"/>
        <n v="200"/>
        <n v="305"/>
        <n v="365"/>
        <n v="325"/>
        <n v="220"/>
        <n v="80"/>
        <n v="240"/>
        <n v="275"/>
        <n v="330"/>
        <n v="380"/>
        <n v="340"/>
        <n v="75"/>
        <n v="105"/>
        <n v="250"/>
        <n v="280"/>
        <n v="335"/>
        <n v="395"/>
        <n v="355"/>
        <n v="70"/>
        <n v="100"/>
        <n v="345"/>
        <n v="410"/>
        <n v="370"/>
        <n v="65"/>
        <n v="300"/>
        <n v="360"/>
        <n v="235"/>
        <n v="420"/>
        <n v="60"/>
        <n v="430"/>
        <n v="390"/>
        <n v="55"/>
        <n v="375"/>
        <n v="440"/>
        <n v="400"/>
        <n v="50"/>
      </sharedItems>
    </cacheField>
    <cacheField name="Bar_Staff_Count" numFmtId="0">
      <sharedItems containsSemiMixedTypes="0" containsString="0" containsNumber="1" containsInteger="1" minValue="3" maxValue="8"/>
    </cacheField>
    <cacheField name="Genre code " numFmtId="0">
      <sharedItems containsSemiMixedTypes="0" containsString="0" containsNumber="1" containsInteger="1" minValue="1" maxValue="6"/>
    </cacheField>
  </cacheFields>
  <extLst>
    <ext xmlns:x14="http://schemas.microsoft.com/office/spreadsheetml/2009/9/main" uri="{725AE2AE-9491-48be-B2B4-4EB974FC3084}">
      <x14:pivotCacheDefinition pivotCacheId="1928979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SESS_001"/>
    <d v="2026-04-01T00:00:00"/>
    <x v="0"/>
    <x v="0"/>
    <x v="0"/>
    <n v="92.5"/>
    <x v="0"/>
    <x v="0"/>
    <n v="4"/>
    <n v="1"/>
  </r>
  <r>
    <s v="SESS_002"/>
    <d v="2026-04-01T00:00:00"/>
    <x v="1"/>
    <x v="0"/>
    <x v="0"/>
    <n v="94.1"/>
    <x v="1"/>
    <x v="1"/>
    <n v="4"/>
    <n v="1"/>
  </r>
  <r>
    <s v="SESS_003"/>
    <d v="2026-04-01T00:00:00"/>
    <x v="2"/>
    <x v="1"/>
    <x v="1"/>
    <n v="98.2"/>
    <x v="2"/>
    <x v="2"/>
    <n v="6"/>
    <n v="2"/>
  </r>
  <r>
    <s v="SESS_004"/>
    <d v="2026-04-01T00:00:00"/>
    <x v="3"/>
    <x v="1"/>
    <x v="1"/>
    <n v="101.4"/>
    <x v="3"/>
    <x v="3"/>
    <n v="6"/>
    <n v="2"/>
  </r>
  <r>
    <s v="SESS_005"/>
    <d v="2026-04-01T00:00:00"/>
    <x v="4"/>
    <x v="2"/>
    <x v="2"/>
    <n v="96.8"/>
    <x v="4"/>
    <x v="4"/>
    <n v="5"/>
    <n v="3"/>
  </r>
  <r>
    <s v="SESS_006"/>
    <d v="2026-04-01T00:00:00"/>
    <x v="5"/>
    <x v="2"/>
    <x v="2"/>
    <n v="95.3"/>
    <x v="5"/>
    <x v="5"/>
    <n v="5"/>
    <n v="3"/>
  </r>
  <r>
    <s v="SESS_007"/>
    <d v="2026-04-02T00:00:00"/>
    <x v="0"/>
    <x v="3"/>
    <x v="3"/>
    <n v="88.4"/>
    <x v="6"/>
    <x v="6"/>
    <n v="3"/>
    <n v="4"/>
  </r>
  <r>
    <s v="SESS_008"/>
    <d v="2026-04-02T00:00:00"/>
    <x v="1"/>
    <x v="3"/>
    <x v="3"/>
    <n v="90.2"/>
    <x v="7"/>
    <x v="7"/>
    <n v="3"/>
    <n v="4"/>
  </r>
  <r>
    <s v="SESS_009"/>
    <d v="2026-04-02T00:00:00"/>
    <x v="2"/>
    <x v="4"/>
    <x v="4"/>
    <n v="93.7"/>
    <x v="8"/>
    <x v="8"/>
    <n v="4"/>
    <n v="5"/>
  </r>
  <r>
    <s v="SESS_010"/>
    <d v="2026-04-02T00:00:00"/>
    <x v="3"/>
    <x v="4"/>
    <x v="4"/>
    <n v="94.1"/>
    <x v="9"/>
    <x v="9"/>
    <n v="4"/>
    <n v="5"/>
  </r>
  <r>
    <s v="SESS_011"/>
    <d v="2026-04-02T00:00:00"/>
    <x v="4"/>
    <x v="2"/>
    <x v="2"/>
    <n v="97.2"/>
    <x v="10"/>
    <x v="10"/>
    <n v="5"/>
    <n v="3"/>
  </r>
  <r>
    <s v="SESS_012"/>
    <d v="2026-04-02T00:00:00"/>
    <x v="5"/>
    <x v="2"/>
    <x v="2"/>
    <n v="96"/>
    <x v="11"/>
    <x v="11"/>
    <n v="5"/>
    <n v="3"/>
  </r>
  <r>
    <s v="SESS_013"/>
    <d v="2026-04-03T00:00:00"/>
    <x v="0"/>
    <x v="0"/>
    <x v="0"/>
    <n v="93"/>
    <x v="12"/>
    <x v="12"/>
    <n v="4"/>
    <n v="1"/>
  </r>
  <r>
    <s v="SESS_014"/>
    <d v="2026-04-03T00:00:00"/>
    <x v="1"/>
    <x v="0"/>
    <x v="0"/>
    <n v="95.4"/>
    <x v="13"/>
    <x v="13"/>
    <n v="5"/>
    <n v="1"/>
  </r>
  <r>
    <s v="SESS_015"/>
    <d v="2026-04-03T00:00:00"/>
    <x v="2"/>
    <x v="1"/>
    <x v="1"/>
    <n v="99.6"/>
    <x v="14"/>
    <x v="14"/>
    <n v="7"/>
    <n v="2"/>
  </r>
  <r>
    <s v="SESS_016"/>
    <d v="2026-04-03T00:00:00"/>
    <x v="3"/>
    <x v="1"/>
    <x v="1"/>
    <n v="102.1"/>
    <x v="15"/>
    <x v="15"/>
    <n v="7"/>
    <n v="2"/>
  </r>
  <r>
    <s v="SESS_017"/>
    <d v="2026-04-03T00:00:00"/>
    <x v="4"/>
    <x v="5"/>
    <x v="5"/>
    <n v="97.5"/>
    <x v="16"/>
    <x v="16"/>
    <n v="6"/>
    <n v="6"/>
  </r>
  <r>
    <s v="SESS_018"/>
    <d v="2026-04-03T00:00:00"/>
    <x v="5"/>
    <x v="5"/>
    <x v="5"/>
    <n v="96.2"/>
    <x v="17"/>
    <x v="17"/>
    <n v="6"/>
    <n v="6"/>
  </r>
  <r>
    <s v="SESS_019"/>
    <d v="2026-04-04T00:00:00"/>
    <x v="0"/>
    <x v="0"/>
    <x v="0"/>
    <n v="93.5"/>
    <x v="18"/>
    <x v="18"/>
    <n v="5"/>
    <n v="1"/>
  </r>
  <r>
    <s v="SESS_020"/>
    <d v="2026-04-04T00:00:00"/>
    <x v="1"/>
    <x v="0"/>
    <x v="0"/>
    <n v="95.1"/>
    <x v="19"/>
    <x v="19"/>
    <n v="5"/>
    <n v="1"/>
  </r>
  <r>
    <s v="SESS_021"/>
    <d v="2026-04-04T00:00:00"/>
    <x v="2"/>
    <x v="1"/>
    <x v="1"/>
    <n v="100.3"/>
    <x v="20"/>
    <x v="20"/>
    <n v="8"/>
    <n v="2"/>
  </r>
  <r>
    <s v="SESS_022"/>
    <d v="2026-04-04T00:00:00"/>
    <x v="3"/>
    <x v="1"/>
    <x v="1"/>
    <n v="103.5"/>
    <x v="21"/>
    <x v="21"/>
    <n v="8"/>
    <n v="2"/>
  </r>
  <r>
    <s v="SESS_023"/>
    <d v="2026-04-04T00:00:00"/>
    <x v="4"/>
    <x v="2"/>
    <x v="2"/>
    <n v="98"/>
    <x v="22"/>
    <x v="22"/>
    <n v="7"/>
    <n v="3"/>
  </r>
  <r>
    <s v="SESS_024"/>
    <d v="2026-04-04T00:00:00"/>
    <x v="5"/>
    <x v="2"/>
    <x v="2"/>
    <n v="96.6"/>
    <x v="23"/>
    <x v="23"/>
    <n v="7"/>
    <n v="3"/>
  </r>
  <r>
    <s v="SESS_025"/>
    <d v="2026-04-08T00:00:00"/>
    <x v="0"/>
    <x v="3"/>
    <x v="3"/>
    <n v="89.1"/>
    <x v="24"/>
    <x v="24"/>
    <n v="3"/>
    <n v="4"/>
  </r>
  <r>
    <s v="SESS_026"/>
    <d v="2026-04-08T00:00:00"/>
    <x v="1"/>
    <x v="3"/>
    <x v="3"/>
    <n v="91"/>
    <x v="25"/>
    <x v="25"/>
    <n v="3"/>
    <n v="4"/>
  </r>
  <r>
    <s v="SESS_027"/>
    <d v="2026-04-08T00:00:00"/>
    <x v="2"/>
    <x v="4"/>
    <x v="4"/>
    <n v="93.2"/>
    <x v="26"/>
    <x v="26"/>
    <n v="4"/>
    <n v="5"/>
  </r>
  <r>
    <s v="SESS_028"/>
    <d v="2026-04-08T00:00:00"/>
    <x v="3"/>
    <x v="4"/>
    <x v="4"/>
    <n v="94.6"/>
    <x v="5"/>
    <x v="27"/>
    <n v="4"/>
    <n v="5"/>
  </r>
  <r>
    <s v="SESS_029"/>
    <d v="2026-04-08T00:00:00"/>
    <x v="4"/>
    <x v="5"/>
    <x v="5"/>
    <n v="96.4"/>
    <x v="27"/>
    <x v="28"/>
    <n v="5"/>
    <n v="6"/>
  </r>
  <r>
    <s v="SESS_030"/>
    <d v="2026-04-08T00:00:00"/>
    <x v="5"/>
    <x v="5"/>
    <x v="5"/>
    <n v="95"/>
    <x v="28"/>
    <x v="8"/>
    <n v="5"/>
    <n v="6"/>
  </r>
  <r>
    <s v="SESS_031"/>
    <d v="2026-04-09T00:00:00"/>
    <x v="0"/>
    <x v="3"/>
    <x v="3"/>
    <n v="88.7"/>
    <x v="29"/>
    <x v="29"/>
    <n v="3"/>
    <n v="4"/>
  </r>
  <r>
    <s v="SESS_032"/>
    <d v="2026-04-09T00:00:00"/>
    <x v="1"/>
    <x v="3"/>
    <x v="3"/>
    <n v="90.5"/>
    <x v="30"/>
    <x v="30"/>
    <n v="3"/>
    <n v="4"/>
  </r>
  <r>
    <s v="SESS_033"/>
    <d v="2026-04-09T00:00:00"/>
    <x v="2"/>
    <x v="0"/>
    <x v="0"/>
    <n v="94"/>
    <x v="31"/>
    <x v="5"/>
    <n v="4"/>
    <n v="1"/>
  </r>
  <r>
    <s v="SESS_034"/>
    <d v="2026-04-09T00:00:00"/>
    <x v="3"/>
    <x v="0"/>
    <x v="0"/>
    <n v="95.8"/>
    <x v="32"/>
    <x v="31"/>
    <n v="4"/>
    <n v="1"/>
  </r>
  <r>
    <s v="SESS_035"/>
    <d v="2026-04-09T00:00:00"/>
    <x v="4"/>
    <x v="2"/>
    <x v="2"/>
    <n v="97.7"/>
    <x v="33"/>
    <x v="4"/>
    <n v="5"/>
    <n v="3"/>
  </r>
  <r>
    <s v="SESS_036"/>
    <d v="2026-04-09T00:00:00"/>
    <x v="5"/>
    <x v="2"/>
    <x v="2"/>
    <n v="95.9"/>
    <x v="34"/>
    <x v="27"/>
    <n v="5"/>
    <n v="3"/>
  </r>
  <r>
    <s v="SESS_037"/>
    <d v="2026-04-10T00:00:00"/>
    <x v="0"/>
    <x v="0"/>
    <x v="0"/>
    <n v="92.8"/>
    <x v="8"/>
    <x v="26"/>
    <n v="4"/>
    <n v="1"/>
  </r>
  <r>
    <s v="SESS_038"/>
    <d v="2026-04-10T00:00:00"/>
    <x v="1"/>
    <x v="0"/>
    <x v="0"/>
    <n v="94.9"/>
    <x v="35"/>
    <x v="32"/>
    <n v="5"/>
    <n v="1"/>
  </r>
  <r>
    <s v="SESS_039"/>
    <d v="2026-04-10T00:00:00"/>
    <x v="2"/>
    <x v="1"/>
    <x v="1"/>
    <n v="100.1"/>
    <x v="36"/>
    <x v="33"/>
    <n v="7"/>
    <n v="2"/>
  </r>
  <r>
    <s v="SESS_040"/>
    <d v="2026-04-10T00:00:00"/>
    <x v="3"/>
    <x v="1"/>
    <x v="1"/>
    <n v="102.6"/>
    <x v="37"/>
    <x v="34"/>
    <n v="7"/>
    <n v="2"/>
  </r>
  <r>
    <s v="SESS_041"/>
    <d v="2026-04-10T00:00:00"/>
    <x v="4"/>
    <x v="5"/>
    <x v="5"/>
    <n v="97.3"/>
    <x v="38"/>
    <x v="20"/>
    <n v="6"/>
    <n v="6"/>
  </r>
  <r>
    <s v="SESS_042"/>
    <d v="2026-04-10T00:00:00"/>
    <x v="5"/>
    <x v="5"/>
    <x v="5"/>
    <n v="95.8"/>
    <x v="39"/>
    <x v="35"/>
    <n v="6"/>
    <n v="6"/>
  </r>
  <r>
    <s v="SESS_043"/>
    <d v="2026-04-11T00:00:00"/>
    <x v="0"/>
    <x v="0"/>
    <x v="0"/>
    <n v="93.2"/>
    <x v="9"/>
    <x v="27"/>
    <n v="5"/>
    <n v="1"/>
  </r>
  <r>
    <s v="SESS_044"/>
    <d v="2026-04-11T00:00:00"/>
    <x v="1"/>
    <x v="0"/>
    <x v="0"/>
    <n v="95.6"/>
    <x v="40"/>
    <x v="35"/>
    <n v="5"/>
    <n v="1"/>
  </r>
  <r>
    <s v="SESS_045"/>
    <d v="2026-04-11T00:00:00"/>
    <x v="2"/>
    <x v="1"/>
    <x v="1"/>
    <n v="100.9"/>
    <x v="41"/>
    <x v="36"/>
    <n v="8"/>
    <n v="2"/>
  </r>
  <r>
    <s v="SESS_046"/>
    <d v="2026-04-11T00:00:00"/>
    <x v="3"/>
    <x v="1"/>
    <x v="1"/>
    <n v="103.8"/>
    <x v="42"/>
    <x v="37"/>
    <n v="8"/>
    <n v="2"/>
  </r>
  <r>
    <s v="SESS_047"/>
    <d v="2026-04-11T00:00:00"/>
    <x v="4"/>
    <x v="2"/>
    <x v="2"/>
    <n v="98.4"/>
    <x v="43"/>
    <x v="38"/>
    <n v="7"/>
    <n v="3"/>
  </r>
  <r>
    <s v="SESS_048"/>
    <d v="2026-04-11T00:00:00"/>
    <x v="5"/>
    <x v="2"/>
    <x v="2"/>
    <n v="96.9"/>
    <x v="44"/>
    <x v="39"/>
    <n v="7"/>
    <n v="3"/>
  </r>
  <r>
    <s v="SESS_049"/>
    <d v="2026-04-15T00:00:00"/>
    <x v="0"/>
    <x v="3"/>
    <x v="3"/>
    <n v="88.2"/>
    <x v="45"/>
    <x v="40"/>
    <n v="3"/>
    <n v="4"/>
  </r>
  <r>
    <s v="SESS_050"/>
    <d v="2026-04-15T00:00:00"/>
    <x v="1"/>
    <x v="3"/>
    <x v="3"/>
    <n v="90.1"/>
    <x v="46"/>
    <x v="0"/>
    <n v="3"/>
    <n v="4"/>
  </r>
  <r>
    <s v="SESS_051"/>
    <d v="2026-04-15T00:00:00"/>
    <x v="2"/>
    <x v="4"/>
    <x v="4"/>
    <n v="93"/>
    <x v="47"/>
    <x v="30"/>
    <n v="4"/>
    <n v="5"/>
  </r>
  <r>
    <s v="SESS_052"/>
    <d v="2026-04-15T00:00:00"/>
    <x v="3"/>
    <x v="4"/>
    <x v="4"/>
    <n v="94.2"/>
    <x v="48"/>
    <x v="1"/>
    <n v="4"/>
    <n v="5"/>
  </r>
  <r>
    <s v="SESS_053"/>
    <d v="2026-04-15T00:00:00"/>
    <x v="4"/>
    <x v="5"/>
    <x v="5"/>
    <n v="96.1"/>
    <x v="49"/>
    <x v="19"/>
    <n v="5"/>
    <n v="6"/>
  </r>
  <r>
    <s v="SESS_054"/>
    <d v="2026-04-15T00:00:00"/>
    <x v="5"/>
    <x v="5"/>
    <x v="5"/>
    <n v="94.8"/>
    <x v="50"/>
    <x v="12"/>
    <n v="5"/>
    <n v="6"/>
  </r>
  <r>
    <s v="SESS_055"/>
    <d v="2026-04-16T00:00:00"/>
    <x v="0"/>
    <x v="3"/>
    <x v="3"/>
    <n v="88.5"/>
    <x v="51"/>
    <x v="24"/>
    <n v="3"/>
    <n v="4"/>
  </r>
  <r>
    <s v="SESS_056"/>
    <d v="2026-04-16T00:00:00"/>
    <x v="1"/>
    <x v="3"/>
    <x v="3"/>
    <n v="90.8"/>
    <x v="52"/>
    <x v="25"/>
    <n v="3"/>
    <n v="4"/>
  </r>
  <r>
    <s v="SESS_057"/>
    <d v="2026-04-16T00:00:00"/>
    <x v="2"/>
    <x v="0"/>
    <x v="0"/>
    <n v="94.3"/>
    <x v="53"/>
    <x v="9"/>
    <n v="4"/>
    <n v="1"/>
  </r>
  <r>
    <s v="SESS_058"/>
    <d v="2026-04-16T00:00:00"/>
    <x v="3"/>
    <x v="0"/>
    <x v="0"/>
    <n v="96.1"/>
    <x v="54"/>
    <x v="17"/>
    <n v="4"/>
    <n v="1"/>
  </r>
  <r>
    <s v="SESS_059"/>
    <d v="2026-04-16T00:00:00"/>
    <x v="4"/>
    <x v="2"/>
    <x v="2"/>
    <n v="97.5"/>
    <x v="55"/>
    <x v="41"/>
    <n v="5"/>
    <n v="3"/>
  </r>
  <r>
    <s v="SESS_060"/>
    <d v="2026-04-16T00:00:00"/>
    <x v="5"/>
    <x v="2"/>
    <x v="2"/>
    <n v="95.5"/>
    <x v="56"/>
    <x v="5"/>
    <n v="5"/>
    <n v="3"/>
  </r>
  <r>
    <s v="SESS_061"/>
    <d v="2026-04-17T00:00:00"/>
    <x v="0"/>
    <x v="0"/>
    <x v="0"/>
    <n v="93.1"/>
    <x v="57"/>
    <x v="8"/>
    <n v="4"/>
    <n v="1"/>
  </r>
  <r>
    <s v="SESS_062"/>
    <d v="2026-04-17T00:00:00"/>
    <x v="1"/>
    <x v="0"/>
    <x v="0"/>
    <n v="95.2"/>
    <x v="58"/>
    <x v="31"/>
    <n v="5"/>
    <n v="1"/>
  </r>
  <r>
    <s v="SESS_063"/>
    <d v="2026-04-17T00:00:00"/>
    <x v="2"/>
    <x v="1"/>
    <x v="1"/>
    <n v="99.8"/>
    <x v="59"/>
    <x v="42"/>
    <n v="7"/>
    <n v="2"/>
  </r>
  <r>
    <s v="SESS_064"/>
    <d v="2026-04-17T00:00:00"/>
    <x v="3"/>
    <x v="1"/>
    <x v="1"/>
    <n v="102.3"/>
    <x v="60"/>
    <x v="43"/>
    <n v="7"/>
    <n v="2"/>
  </r>
  <r>
    <s v="SESS_065"/>
    <d v="2026-04-17T00:00:00"/>
    <x v="4"/>
    <x v="5"/>
    <x v="5"/>
    <n v="97.1"/>
    <x v="61"/>
    <x v="36"/>
    <n v="6"/>
    <n v="6"/>
  </r>
  <r>
    <s v="SESS_066"/>
    <d v="2026-04-17T00:00:00"/>
    <x v="5"/>
    <x v="5"/>
    <x v="5"/>
    <n v="95.5"/>
    <x v="40"/>
    <x v="2"/>
    <n v="6"/>
    <n v="6"/>
  </r>
  <r>
    <s v="SESS_067"/>
    <d v="2026-04-18T00:00:00"/>
    <x v="0"/>
    <x v="0"/>
    <x v="0"/>
    <n v="93.6"/>
    <x v="62"/>
    <x v="9"/>
    <n v="5"/>
    <n v="1"/>
  </r>
  <r>
    <s v="SESS_068"/>
    <d v="2026-04-18T00:00:00"/>
    <x v="1"/>
    <x v="0"/>
    <x v="0"/>
    <n v="95.9"/>
    <x v="63"/>
    <x v="2"/>
    <n v="5"/>
    <n v="1"/>
  </r>
  <r>
    <s v="SESS_069"/>
    <d v="2026-04-18T00:00:00"/>
    <x v="2"/>
    <x v="1"/>
    <x v="1"/>
    <n v="101.2"/>
    <x v="64"/>
    <x v="34"/>
    <n v="8"/>
    <n v="2"/>
  </r>
  <r>
    <s v="SESS_070"/>
    <d v="2026-04-18T00:00:00"/>
    <x v="3"/>
    <x v="1"/>
    <x v="1"/>
    <n v="104.1"/>
    <x v="65"/>
    <x v="44"/>
    <n v="8"/>
    <n v="2"/>
  </r>
  <r>
    <s v="SESS_071"/>
    <d v="2026-04-18T00:00:00"/>
    <x v="4"/>
    <x v="2"/>
    <x v="2"/>
    <n v="98.7"/>
    <x v="66"/>
    <x v="45"/>
    <n v="7"/>
    <n v="3"/>
  </r>
  <r>
    <s v="SESS_072"/>
    <d v="2026-04-18T00:00:00"/>
    <x v="5"/>
    <x v="2"/>
    <x v="2"/>
    <n v="97.2"/>
    <x v="67"/>
    <x v="4"/>
    <n v="7"/>
    <n v="3"/>
  </r>
  <r>
    <s v="SESS_073"/>
    <d v="2026-04-22T00:00:00"/>
    <x v="0"/>
    <x v="3"/>
    <x v="3"/>
    <n v="88"/>
    <x v="68"/>
    <x v="46"/>
    <n v="3"/>
    <n v="4"/>
  </r>
  <r>
    <s v="SESS_074"/>
    <d v="2026-04-22T00:00:00"/>
    <x v="1"/>
    <x v="3"/>
    <x v="3"/>
    <n v="89.8"/>
    <x v="69"/>
    <x v="47"/>
    <n v="3"/>
    <n v="4"/>
  </r>
  <r>
    <s v="SESS_075"/>
    <d v="2026-04-22T00:00:00"/>
    <x v="2"/>
    <x v="4"/>
    <x v="4"/>
    <n v="92.8"/>
    <x v="70"/>
    <x v="25"/>
    <n v="4"/>
    <n v="5"/>
  </r>
  <r>
    <s v="SESS_076"/>
    <d v="2026-04-22T00:00:00"/>
    <x v="3"/>
    <x v="4"/>
    <x v="4"/>
    <n v="93.9"/>
    <x v="71"/>
    <x v="8"/>
    <n v="4"/>
    <n v="5"/>
  </r>
  <r>
    <s v="SESS_077"/>
    <d v="2026-04-22T00:00:00"/>
    <x v="4"/>
    <x v="5"/>
    <x v="5"/>
    <n v="95.8"/>
    <x v="72"/>
    <x v="32"/>
    <n v="5"/>
    <n v="6"/>
  </r>
  <r>
    <s v="SESS_078"/>
    <d v="2026-04-22T00:00:00"/>
    <x v="5"/>
    <x v="5"/>
    <x v="5"/>
    <n v="94.5"/>
    <x v="73"/>
    <x v="30"/>
    <n v="5"/>
    <n v="6"/>
  </r>
  <r>
    <s v="SESS_079"/>
    <d v="2026-04-23T00:00:00"/>
    <x v="0"/>
    <x v="3"/>
    <x v="3"/>
    <n v="88.9"/>
    <x v="69"/>
    <x v="29"/>
    <n v="3"/>
    <n v="4"/>
  </r>
  <r>
    <s v="SESS_080"/>
    <d v="2026-04-23T00:00:00"/>
    <x v="1"/>
    <x v="3"/>
    <x v="3"/>
    <n v="91.2"/>
    <x v="74"/>
    <x v="30"/>
    <n v="3"/>
    <n v="4"/>
  </r>
  <r>
    <s v="SESS_081"/>
    <d v="2026-04-23T00:00:00"/>
    <x v="2"/>
    <x v="0"/>
    <x v="0"/>
    <n v="94.5"/>
    <x v="75"/>
    <x v="11"/>
    <n v="4"/>
    <n v="1"/>
  </r>
  <r>
    <s v="SESS_082"/>
    <d v="2026-04-23T00:00:00"/>
    <x v="3"/>
    <x v="0"/>
    <x v="0"/>
    <n v="96.4"/>
    <x v="76"/>
    <x v="35"/>
    <n v="4"/>
    <n v="1"/>
  </r>
  <r>
    <s v="SESS_083"/>
    <d v="2026-04-23T00:00:00"/>
    <x v="4"/>
    <x v="2"/>
    <x v="2"/>
    <n v="97.9"/>
    <x v="77"/>
    <x v="48"/>
    <n v="5"/>
    <n v="3"/>
  </r>
  <r>
    <s v="SESS_084"/>
    <d v="2026-04-23T00:00:00"/>
    <x v="5"/>
    <x v="2"/>
    <x v="2"/>
    <n v="95.8"/>
    <x v="78"/>
    <x v="9"/>
    <n v="5"/>
    <n v="3"/>
  </r>
  <r>
    <s v="SESS_085"/>
    <d v="2026-04-24T00:00:00"/>
    <x v="0"/>
    <x v="0"/>
    <x v="0"/>
    <n v="92.9"/>
    <x v="79"/>
    <x v="1"/>
    <n v="4"/>
    <n v="1"/>
  </r>
  <r>
    <s v="SESS_086"/>
    <d v="2026-04-24T00:00:00"/>
    <x v="1"/>
    <x v="0"/>
    <x v="0"/>
    <n v="95"/>
    <x v="80"/>
    <x v="19"/>
    <n v="5"/>
    <n v="1"/>
  </r>
  <r>
    <s v="SESS_087"/>
    <d v="2026-04-24T00:00:00"/>
    <x v="2"/>
    <x v="1"/>
    <x v="1"/>
    <n v="99.9"/>
    <x v="81"/>
    <x v="49"/>
    <n v="7"/>
    <n v="2"/>
  </r>
  <r>
    <s v="SESS_088"/>
    <d v="2026-04-24T00:00:00"/>
    <x v="3"/>
    <x v="1"/>
    <x v="1"/>
    <n v="102.5"/>
    <x v="82"/>
    <x v="45"/>
    <n v="7"/>
    <n v="2"/>
  </r>
  <r>
    <s v="SESS_089"/>
    <d v="2026-04-24T00:00:00"/>
    <x v="4"/>
    <x v="5"/>
    <x v="5"/>
    <n v="97.4"/>
    <x v="15"/>
    <x v="22"/>
    <n v="6"/>
    <n v="6"/>
  </r>
  <r>
    <s v="SESS_090"/>
    <d v="2026-04-24T00:00:00"/>
    <x v="5"/>
    <x v="5"/>
    <x v="5"/>
    <n v="95.7"/>
    <x v="83"/>
    <x v="23"/>
    <n v="6"/>
    <n v="6"/>
  </r>
  <r>
    <s v="SESS_091"/>
    <d v="2026-04-25T00:00:00"/>
    <x v="0"/>
    <x v="0"/>
    <x v="0"/>
    <n v="93.4"/>
    <x v="35"/>
    <x v="11"/>
    <n v="5"/>
    <n v="1"/>
  </r>
  <r>
    <s v="SESS_092"/>
    <d v="2026-04-25T00:00:00"/>
    <x v="1"/>
    <x v="0"/>
    <x v="0"/>
    <n v="95.7"/>
    <x v="84"/>
    <x v="39"/>
    <n v="5"/>
    <n v="1"/>
  </r>
  <r>
    <s v="SESS_093"/>
    <d v="2026-04-25T00:00:00"/>
    <x v="2"/>
    <x v="1"/>
    <x v="1"/>
    <n v="101.5"/>
    <x v="85"/>
    <x v="50"/>
    <n v="8"/>
    <n v="2"/>
  </r>
  <r>
    <s v="SESS_094"/>
    <d v="2026-04-25T00:00:00"/>
    <x v="3"/>
    <x v="1"/>
    <x v="1"/>
    <n v="104.5"/>
    <x v="86"/>
    <x v="51"/>
    <n v="8"/>
    <n v="2"/>
  </r>
  <r>
    <s v="SESS_095"/>
    <d v="2026-04-25T00:00:00"/>
    <x v="4"/>
    <x v="2"/>
    <x v="2"/>
    <n v="98.9"/>
    <x v="87"/>
    <x v="52"/>
    <n v="7"/>
    <n v="3"/>
  </r>
  <r>
    <s v="SESS_096"/>
    <d v="2026-04-25T00:00:00"/>
    <x v="5"/>
    <x v="2"/>
    <x v="2"/>
    <n v="97.5"/>
    <x v="88"/>
    <x v="41"/>
    <n v="7"/>
    <n v="3"/>
  </r>
  <r>
    <s v="SESS_097"/>
    <d v="2026-04-29T00:00:00"/>
    <x v="0"/>
    <x v="3"/>
    <x v="3"/>
    <n v="87.8"/>
    <x v="89"/>
    <x v="53"/>
    <n v="3"/>
    <n v="4"/>
  </r>
  <r>
    <s v="SESS_098"/>
    <d v="2026-04-29T00:00:00"/>
    <x v="1"/>
    <x v="3"/>
    <x v="3"/>
    <n v="89.5"/>
    <x v="90"/>
    <x v="54"/>
    <n v="3"/>
    <n v="4"/>
  </r>
  <r>
    <s v="SESS_099"/>
    <d v="2026-04-29T00:00:00"/>
    <x v="2"/>
    <x v="4"/>
    <x v="4"/>
    <n v="92.5"/>
    <x v="91"/>
    <x v="7"/>
    <n v="4"/>
    <n v="5"/>
  </r>
  <r>
    <s v="SESS_100"/>
    <d v="2026-04-29T00:00:00"/>
    <x v="3"/>
    <x v="4"/>
    <x v="4"/>
    <n v="93.6"/>
    <x v="92"/>
    <x v="26"/>
    <n v="4"/>
    <n v="5"/>
  </r>
  <r>
    <s v="SESS_101"/>
    <d v="2026-04-29T00:00:00"/>
    <x v="4"/>
    <x v="5"/>
    <x v="5"/>
    <n v="95.5"/>
    <x v="93"/>
    <x v="13"/>
    <n v="5"/>
    <n v="6"/>
  </r>
  <r>
    <s v="SESS_102"/>
    <d v="2026-04-29T00:00:00"/>
    <x v="5"/>
    <x v="5"/>
    <x v="5"/>
    <n v="94.2"/>
    <x v="94"/>
    <x v="25"/>
    <n v="5"/>
    <n v="6"/>
  </r>
  <r>
    <s v="SESS_103"/>
    <d v="2026-04-30T00:00:00"/>
    <x v="0"/>
    <x v="3"/>
    <x v="3"/>
    <n v="89.2"/>
    <x v="95"/>
    <x v="54"/>
    <n v="3"/>
    <n v="4"/>
  </r>
  <r>
    <s v="SESS_104"/>
    <d v="2026-04-30T00:00:00"/>
    <x v="1"/>
    <x v="3"/>
    <x v="3"/>
    <n v="91.5"/>
    <x v="91"/>
    <x v="12"/>
    <n v="3"/>
    <n v="4"/>
  </r>
  <r>
    <s v="SESS_105"/>
    <d v="2026-04-30T00:00:00"/>
    <x v="2"/>
    <x v="0"/>
    <x v="0"/>
    <n v="94.7"/>
    <x v="96"/>
    <x v="13"/>
    <n v="4"/>
    <n v="1"/>
  </r>
  <r>
    <s v="SESS_106"/>
    <d v="2026-04-30T00:00:00"/>
    <x v="3"/>
    <x v="0"/>
    <x v="0"/>
    <n v="96.6"/>
    <x v="97"/>
    <x v="2"/>
    <n v="4"/>
    <n v="1"/>
  </r>
  <r>
    <s v="SESS_107"/>
    <d v="2026-04-30T00:00:00"/>
    <x v="4"/>
    <x v="2"/>
    <x v="2"/>
    <n v="98.2"/>
    <x v="98"/>
    <x v="14"/>
    <n v="5"/>
    <n v="3"/>
  </r>
  <r>
    <s v="SESS_108"/>
    <d v="2026-04-30T00:00:00"/>
    <x v="5"/>
    <x v="2"/>
    <x v="2"/>
    <n v="96.1"/>
    <x v="99"/>
    <x v="13"/>
    <n v="5"/>
    <n v="3"/>
  </r>
  <r>
    <s v="SESS_109"/>
    <d v="2026-05-01T00:00:00"/>
    <x v="0"/>
    <x v="0"/>
    <x v="0"/>
    <n v="93.1"/>
    <x v="100"/>
    <x v="18"/>
    <n v="4"/>
    <n v="1"/>
  </r>
  <r>
    <s v="SESS_110"/>
    <d v="2026-05-01T00:00:00"/>
    <x v="1"/>
    <x v="0"/>
    <x v="0"/>
    <n v="95.2"/>
    <x v="101"/>
    <x v="17"/>
    <n v="5"/>
    <n v="1"/>
  </r>
  <r>
    <s v="SESS_111"/>
    <d v="2026-05-01T00:00:00"/>
    <x v="2"/>
    <x v="1"/>
    <x v="1"/>
    <n v="100.2"/>
    <x v="38"/>
    <x v="16"/>
    <n v="7"/>
    <n v="2"/>
  </r>
  <r>
    <s v="SESS_112"/>
    <d v="2026-05-01T00:00:00"/>
    <x v="3"/>
    <x v="1"/>
    <x v="1"/>
    <n v="102.8"/>
    <x v="102"/>
    <x v="21"/>
    <n v="7"/>
    <n v="2"/>
  </r>
  <r>
    <s v="SESS_113"/>
    <d v="2026-05-01T00:00:00"/>
    <x v="4"/>
    <x v="5"/>
    <x v="5"/>
    <n v="97.6"/>
    <x v="103"/>
    <x v="38"/>
    <n v="6"/>
    <n v="6"/>
  </r>
  <r>
    <s v="SESS_114"/>
    <d v="2026-05-01T00:00:00"/>
    <x v="5"/>
    <x v="5"/>
    <x v="5"/>
    <n v="96"/>
    <x v="104"/>
    <x v="10"/>
    <n v="6"/>
    <n v="6"/>
  </r>
  <r>
    <s v="SESS_115"/>
    <d v="2026-05-02T00:00:00"/>
    <x v="0"/>
    <x v="0"/>
    <x v="0"/>
    <n v="93.7"/>
    <x v="58"/>
    <x v="13"/>
    <n v="5"/>
    <n v="1"/>
  </r>
  <r>
    <s v="SESS_116"/>
    <d v="2026-05-02T00:00:00"/>
    <x v="1"/>
    <x v="0"/>
    <x v="0"/>
    <n v="96"/>
    <x v="105"/>
    <x v="4"/>
    <n v="5"/>
    <n v="1"/>
  </r>
  <r>
    <s v="SESS_117"/>
    <d v="2026-05-02T00:00:00"/>
    <x v="2"/>
    <x v="1"/>
    <x v="1"/>
    <n v="101.8"/>
    <x v="106"/>
    <x v="55"/>
    <n v="8"/>
    <n v="2"/>
  </r>
  <r>
    <s v="SESS_118"/>
    <d v="2026-05-02T00:00:00"/>
    <x v="3"/>
    <x v="1"/>
    <x v="1"/>
    <n v="104.8"/>
    <x v="107"/>
    <x v="56"/>
    <n v="8"/>
    <n v="2"/>
  </r>
  <r>
    <s v="SESS_119"/>
    <d v="2026-05-02T00:00:00"/>
    <x v="4"/>
    <x v="2"/>
    <x v="2"/>
    <n v="99.1"/>
    <x v="108"/>
    <x v="57"/>
    <n v="7"/>
    <n v="3"/>
  </r>
  <r>
    <s v="SESS_120"/>
    <d v="2026-05-02T00:00:00"/>
    <x v="5"/>
    <x v="2"/>
    <x v="2"/>
    <n v="97.7"/>
    <x v="109"/>
    <x v="48"/>
    <n v="7"/>
    <n v="3"/>
  </r>
  <r>
    <s v="SESS_121"/>
    <d v="2026-05-06T00:00:00"/>
    <x v="0"/>
    <x v="3"/>
    <x v="3"/>
    <n v="87.6"/>
    <x v="110"/>
    <x v="58"/>
    <n v="3"/>
    <n v="4"/>
  </r>
  <r>
    <s v="SESS_122"/>
    <d v="2026-05-06T00:00:00"/>
    <x v="1"/>
    <x v="3"/>
    <x v="3"/>
    <n v="89.3"/>
    <x v="51"/>
    <x v="29"/>
    <n v="3"/>
    <n v="4"/>
  </r>
  <r>
    <s v="SESS_123"/>
    <d v="2026-05-06T00:00:00"/>
    <x v="2"/>
    <x v="4"/>
    <x v="4"/>
    <n v="92.3"/>
    <x v="0"/>
    <x v="0"/>
    <n v="4"/>
    <n v="5"/>
  </r>
  <r>
    <s v="SESS_124"/>
    <d v="2026-05-06T00:00:00"/>
    <x v="3"/>
    <x v="4"/>
    <x v="4"/>
    <n v="93.3"/>
    <x v="111"/>
    <x v="12"/>
    <n v="4"/>
    <n v="5"/>
  </r>
  <r>
    <s v="SESS_125"/>
    <d v="2026-05-06T00:00:00"/>
    <x v="4"/>
    <x v="5"/>
    <x v="5"/>
    <n v="95.2"/>
    <x v="112"/>
    <x v="11"/>
    <n v="5"/>
    <n v="6"/>
  </r>
  <r>
    <s v="SESS_126"/>
    <d v="2026-05-06T00:00:00"/>
    <x v="5"/>
    <x v="5"/>
    <x v="5"/>
    <n v="93.9"/>
    <x v="113"/>
    <x v="7"/>
    <n v="5"/>
    <n v="6"/>
  </r>
  <r>
    <s v="SESS_127"/>
    <d v="2026-05-07T00:00:00"/>
    <x v="0"/>
    <x v="3"/>
    <x v="3"/>
    <n v="89.4"/>
    <x v="114"/>
    <x v="47"/>
    <n v="3"/>
    <n v="4"/>
  </r>
  <r>
    <s v="SESS_128"/>
    <d v="2026-05-07T00:00:00"/>
    <x v="1"/>
    <x v="3"/>
    <x v="3"/>
    <n v="91.7"/>
    <x v="115"/>
    <x v="26"/>
    <n v="3"/>
    <n v="4"/>
  </r>
  <r>
    <s v="SESS_129"/>
    <d v="2026-05-07T00:00:00"/>
    <x v="2"/>
    <x v="0"/>
    <x v="0"/>
    <n v="94.9"/>
    <x v="116"/>
    <x v="32"/>
    <n v="4"/>
    <n v="1"/>
  </r>
  <r>
    <s v="SESS_130"/>
    <d v="2026-05-07T00:00:00"/>
    <x v="3"/>
    <x v="0"/>
    <x v="0"/>
    <n v="96.8"/>
    <x v="117"/>
    <x v="23"/>
    <n v="4"/>
    <n v="1"/>
  </r>
  <r>
    <s v="SESS_131"/>
    <d v="2026-05-07T00:00:00"/>
    <x v="4"/>
    <x v="2"/>
    <x v="2"/>
    <n v="98.5"/>
    <x v="118"/>
    <x v="33"/>
    <n v="5"/>
    <n v="3"/>
  </r>
  <r>
    <s v="SESS_132"/>
    <d v="2026-05-07T00:00:00"/>
    <x v="5"/>
    <x v="2"/>
    <x v="2"/>
    <n v="96.4"/>
    <x v="119"/>
    <x v="32"/>
    <n v="5"/>
    <n v="3"/>
  </r>
  <r>
    <s v="SESS_133"/>
    <d v="2026-05-08T00:00:00"/>
    <x v="0"/>
    <x v="0"/>
    <x v="0"/>
    <n v="93.3"/>
    <x v="120"/>
    <x v="27"/>
    <n v="4"/>
    <n v="1"/>
  </r>
  <r>
    <s v="SESS_134"/>
    <d v="2026-05-08T00:00:00"/>
    <x v="1"/>
    <x v="0"/>
    <x v="0"/>
    <n v="95.4"/>
    <x v="121"/>
    <x v="35"/>
    <n v="5"/>
    <n v="1"/>
  </r>
  <r>
    <s v="SESS_135"/>
    <d v="2026-05-08T00:00:00"/>
    <x v="2"/>
    <x v="1"/>
    <x v="1"/>
    <n v="100.5"/>
    <x v="122"/>
    <x v="59"/>
    <n v="7"/>
    <n v="2"/>
  </r>
  <r>
    <s v="SESS_136"/>
    <d v="2026-05-08T00:00:00"/>
    <x v="3"/>
    <x v="1"/>
    <x v="1"/>
    <n v="103.1"/>
    <x v="123"/>
    <x v="60"/>
    <n v="7"/>
    <n v="2"/>
  </r>
  <r>
    <s v="SESS_137"/>
    <d v="2026-05-08T00:00:00"/>
    <x v="4"/>
    <x v="5"/>
    <x v="5"/>
    <n v="97.8"/>
    <x v="124"/>
    <x v="50"/>
    <n v="6"/>
    <n v="6"/>
  </r>
  <r>
    <s v="SESS_138"/>
    <d v="2026-05-08T00:00:00"/>
    <x v="5"/>
    <x v="5"/>
    <x v="5"/>
    <n v="96.3"/>
    <x v="125"/>
    <x v="61"/>
    <n v="6"/>
    <n v="6"/>
  </r>
  <r>
    <s v="SESS_139"/>
    <d v="2026-05-09T00:00:00"/>
    <x v="0"/>
    <x v="0"/>
    <x v="0"/>
    <n v="93.9"/>
    <x v="80"/>
    <x v="32"/>
    <n v="5"/>
    <n v="1"/>
  </r>
  <r>
    <s v="SESS_140"/>
    <d v="2026-05-09T00:00:00"/>
    <x v="1"/>
    <x v="0"/>
    <x v="0"/>
    <n v="96.2"/>
    <x v="126"/>
    <x v="41"/>
    <n v="5"/>
    <n v="1"/>
  </r>
  <r>
    <s v="SESS_141"/>
    <d v="2026-05-09T00:00:00"/>
    <x v="2"/>
    <x v="1"/>
    <x v="1"/>
    <n v="102.1"/>
    <x v="127"/>
    <x v="52"/>
    <n v="8"/>
    <n v="2"/>
  </r>
  <r>
    <s v="SESS_142"/>
    <d v="2026-05-09T00:00:00"/>
    <x v="3"/>
    <x v="1"/>
    <x v="1"/>
    <n v="105"/>
    <x v="128"/>
    <x v="62"/>
    <n v="8"/>
    <n v="2"/>
  </r>
  <r>
    <s v="SESS_143"/>
    <d v="2026-05-09T00:00:00"/>
    <x v="4"/>
    <x v="2"/>
    <x v="2"/>
    <n v="99.4"/>
    <x v="129"/>
    <x v="44"/>
    <n v="7"/>
    <n v="3"/>
  </r>
  <r>
    <s v="SESS_144"/>
    <d v="2026-05-09T00:00:00"/>
    <x v="5"/>
    <x v="2"/>
    <x v="2"/>
    <n v="97.9"/>
    <x v="130"/>
    <x v="14"/>
    <n v="7"/>
    <n v="3"/>
  </r>
  <r>
    <s v="SESS_145"/>
    <d v="2026-05-13T00:00:00"/>
    <x v="0"/>
    <x v="3"/>
    <x v="3"/>
    <n v="87.4"/>
    <x v="131"/>
    <x v="63"/>
    <n v="3"/>
    <n v="4"/>
  </r>
  <r>
    <s v="SESS_146"/>
    <d v="2026-05-13T00:00:00"/>
    <x v="1"/>
    <x v="3"/>
    <x v="3"/>
    <n v="89.1"/>
    <x v="132"/>
    <x v="24"/>
    <n v="3"/>
    <n v="4"/>
  </r>
  <r>
    <s v="SESS_147"/>
    <d v="2026-05-13T00:00:00"/>
    <x v="2"/>
    <x v="4"/>
    <x v="4"/>
    <n v="92"/>
    <x v="133"/>
    <x v="47"/>
    <n v="4"/>
    <n v="5"/>
  </r>
  <r>
    <s v="SESS_148"/>
    <d v="2026-05-13T00:00:00"/>
    <x v="3"/>
    <x v="4"/>
    <x v="4"/>
    <n v="93.1"/>
    <x v="134"/>
    <x v="30"/>
    <n v="4"/>
    <n v="5"/>
  </r>
  <r>
    <s v="SESS_149"/>
    <d v="2026-05-13T00:00:00"/>
    <x v="4"/>
    <x v="5"/>
    <x v="5"/>
    <n v="95"/>
    <x v="135"/>
    <x v="9"/>
    <n v="5"/>
    <n v="6"/>
  </r>
  <r>
    <s v="SESS_150"/>
    <d v="2026-05-13T00:00:00"/>
    <x v="5"/>
    <x v="5"/>
    <x v="5"/>
    <n v="93.6"/>
    <x v="136"/>
    <x v="0"/>
    <n v="5"/>
    <n v="6"/>
  </r>
  <r>
    <s v="SESS_151"/>
    <d v="2026-05-14T00:00:00"/>
    <x v="0"/>
    <x v="3"/>
    <x v="3"/>
    <n v="89.6"/>
    <x v="137"/>
    <x v="0"/>
    <n v="3"/>
    <n v="4"/>
  </r>
  <r>
    <s v="SESS_152"/>
    <d v="2026-05-14T00:00:00"/>
    <x v="1"/>
    <x v="3"/>
    <x v="3"/>
    <n v="91.9"/>
    <x v="138"/>
    <x v="8"/>
    <n v="3"/>
    <n v="4"/>
  </r>
  <r>
    <s v="SESS_153"/>
    <d v="2026-05-14T00:00:00"/>
    <x v="2"/>
    <x v="0"/>
    <x v="0"/>
    <n v="95.1"/>
    <x v="139"/>
    <x v="31"/>
    <n v="4"/>
    <n v="1"/>
  </r>
  <r>
    <s v="SESS_154"/>
    <d v="2026-05-14T00:00:00"/>
    <x v="3"/>
    <x v="0"/>
    <x v="0"/>
    <n v="97"/>
    <x v="140"/>
    <x v="39"/>
    <n v="4"/>
    <n v="1"/>
  </r>
  <r>
    <s v="SESS_155"/>
    <d v="2026-05-14T00:00:00"/>
    <x v="4"/>
    <x v="2"/>
    <x v="2"/>
    <n v="98.7"/>
    <x v="141"/>
    <x v="49"/>
    <n v="5"/>
    <n v="3"/>
  </r>
  <r>
    <s v="SESS_156"/>
    <d v="2026-05-14T00:00:00"/>
    <x v="5"/>
    <x v="2"/>
    <x v="2"/>
    <n v="96.6"/>
    <x v="142"/>
    <x v="31"/>
    <n v="5"/>
    <n v="3"/>
  </r>
  <r>
    <s v="SESS_157"/>
    <d v="2026-05-15T00:00:00"/>
    <x v="0"/>
    <x v="0"/>
    <x v="0"/>
    <n v="93.5"/>
    <x v="143"/>
    <x v="5"/>
    <n v="4"/>
    <n v="1"/>
  </r>
  <r>
    <s v="SESS_158"/>
    <d v="2026-05-15T00:00:00"/>
    <x v="1"/>
    <x v="0"/>
    <x v="0"/>
    <n v="95.6"/>
    <x v="144"/>
    <x v="28"/>
    <n v="5"/>
    <n v="1"/>
  </r>
  <r>
    <s v="SESS_159"/>
    <d v="2026-05-15T00:00:00"/>
    <x v="2"/>
    <x v="1"/>
    <x v="1"/>
    <n v="100.8"/>
    <x v="145"/>
    <x v="15"/>
    <n v="7"/>
    <n v="2"/>
  </r>
  <r>
    <s v="SESS_160"/>
    <d v="2026-05-15T00:00:00"/>
    <x v="3"/>
    <x v="1"/>
    <x v="1"/>
    <n v="103.4"/>
    <x v="146"/>
    <x v="57"/>
    <n v="7"/>
    <n v="2"/>
  </r>
  <r>
    <s v="SESS_161"/>
    <d v="2026-05-15T00:00:00"/>
    <x v="4"/>
    <x v="5"/>
    <x v="5"/>
    <n v="98"/>
    <x v="147"/>
    <x v="55"/>
    <n v="6"/>
    <n v="6"/>
  </r>
  <r>
    <s v="SESS_162"/>
    <d v="2026-05-15T00:00:00"/>
    <x v="5"/>
    <x v="5"/>
    <x v="5"/>
    <n v="96.5"/>
    <x v="148"/>
    <x v="41"/>
    <n v="6"/>
    <n v="6"/>
  </r>
  <r>
    <s v="SESS_163"/>
    <d v="2026-05-16T00:00:00"/>
    <x v="0"/>
    <x v="0"/>
    <x v="0"/>
    <n v="94.1"/>
    <x v="19"/>
    <x v="31"/>
    <n v="5"/>
    <n v="1"/>
  </r>
  <r>
    <s v="SESS_164"/>
    <d v="2026-05-16T00:00:00"/>
    <x v="1"/>
    <x v="0"/>
    <x v="0"/>
    <n v="96.4"/>
    <x v="149"/>
    <x v="3"/>
    <n v="5"/>
    <n v="1"/>
  </r>
  <r>
    <s v="SESS_165"/>
    <d v="2026-05-16T00:00:00"/>
    <x v="2"/>
    <x v="1"/>
    <x v="1"/>
    <n v="102.4"/>
    <x v="150"/>
    <x v="37"/>
    <n v="8"/>
    <n v="2"/>
  </r>
  <r>
    <s v="SESS_166"/>
    <d v="2026-05-16T00:00:00"/>
    <x v="3"/>
    <x v="1"/>
    <x v="1"/>
    <n v="105.3"/>
    <x v="151"/>
    <x v="64"/>
    <n v="8"/>
    <n v="2"/>
  </r>
  <r>
    <s v="SESS_167"/>
    <d v="2026-05-16T00:00:00"/>
    <x v="4"/>
    <x v="2"/>
    <x v="2"/>
    <n v="99.6"/>
    <x v="152"/>
    <x v="65"/>
    <n v="7"/>
    <n v="3"/>
  </r>
  <r>
    <s v="SESS_168"/>
    <d v="2026-05-16T00:00:00"/>
    <x v="5"/>
    <x v="2"/>
    <x v="2"/>
    <n v="98.1"/>
    <x v="153"/>
    <x v="33"/>
    <n v="7"/>
    <n v="3"/>
  </r>
  <r>
    <s v="SESS_169"/>
    <d v="2026-05-20T00:00:00"/>
    <x v="0"/>
    <x v="3"/>
    <x v="3"/>
    <n v="87.2"/>
    <x v="154"/>
    <x v="66"/>
    <n v="3"/>
    <n v="4"/>
  </r>
  <r>
    <s v="SESS_170"/>
    <d v="2026-05-20T00:00:00"/>
    <x v="1"/>
    <x v="3"/>
    <x v="3"/>
    <n v="88.9"/>
    <x v="155"/>
    <x v="6"/>
    <n v="3"/>
    <n v="4"/>
  </r>
  <r>
    <s v="SESS_171"/>
    <d v="2026-05-20T00:00:00"/>
    <x v="2"/>
    <x v="4"/>
    <x v="4"/>
    <n v="91.8"/>
    <x v="156"/>
    <x v="54"/>
    <n v="4"/>
    <n v="5"/>
  </r>
  <r>
    <s v="SESS_172"/>
    <d v="2026-05-20T00:00:00"/>
    <x v="3"/>
    <x v="4"/>
    <x v="4"/>
    <n v="92.9"/>
    <x v="157"/>
    <x v="25"/>
    <n v="4"/>
    <n v="5"/>
  </r>
  <r>
    <s v="SESS_173"/>
    <d v="2026-05-20T00:00:00"/>
    <x v="4"/>
    <x v="5"/>
    <x v="5"/>
    <n v="94.8"/>
    <x v="53"/>
    <x v="5"/>
    <n v="5"/>
    <n v="6"/>
  </r>
  <r>
    <s v="SESS_174"/>
    <d v="2026-05-20T00:00:00"/>
    <x v="5"/>
    <x v="5"/>
    <x v="5"/>
    <n v="93.4"/>
    <x v="158"/>
    <x v="47"/>
    <n v="5"/>
    <n v="6"/>
  </r>
  <r>
    <s v="SESS_175"/>
    <d v="2026-05-21T00:00:00"/>
    <x v="0"/>
    <x v="3"/>
    <x v="3"/>
    <n v="89.8"/>
    <x v="159"/>
    <x v="7"/>
    <n v="3"/>
    <n v="4"/>
  </r>
  <r>
    <s v="SESS_176"/>
    <d v="2026-05-21T00:00:00"/>
    <x v="1"/>
    <x v="3"/>
    <x v="3"/>
    <n v="92.1"/>
    <x v="134"/>
    <x v="1"/>
    <n v="3"/>
    <n v="4"/>
  </r>
  <r>
    <s v="SESS_177"/>
    <d v="2026-05-21T00:00:00"/>
    <x v="2"/>
    <x v="0"/>
    <x v="0"/>
    <n v="95.3"/>
    <x v="160"/>
    <x v="19"/>
    <n v="4"/>
    <n v="1"/>
  </r>
  <r>
    <s v="SESS_178"/>
    <d v="2026-05-21T00:00:00"/>
    <x v="3"/>
    <x v="0"/>
    <x v="0"/>
    <n v="97.2"/>
    <x v="161"/>
    <x v="10"/>
    <n v="4"/>
    <n v="1"/>
  </r>
  <r>
    <s v="SESS_179"/>
    <d v="2026-05-21T00:00:00"/>
    <x v="4"/>
    <x v="2"/>
    <x v="2"/>
    <n v="98.9"/>
    <x v="162"/>
    <x v="16"/>
    <n v="5"/>
    <n v="3"/>
  </r>
  <r>
    <s v="SESS_180"/>
    <d v="2026-05-21T00:00:00"/>
    <x v="5"/>
    <x v="2"/>
    <x v="2"/>
    <n v="96.8"/>
    <x v="163"/>
    <x v="19"/>
    <n v="5"/>
    <n v="3"/>
  </r>
  <r>
    <s v="SESS_181"/>
    <d v="2026-05-22T00:00:00"/>
    <x v="0"/>
    <x v="0"/>
    <x v="0"/>
    <n v="93.7"/>
    <x v="164"/>
    <x v="9"/>
    <n v="4"/>
    <n v="1"/>
  </r>
  <r>
    <s v="SESS_182"/>
    <d v="2026-05-22T00:00:00"/>
    <x v="1"/>
    <x v="0"/>
    <x v="0"/>
    <n v="95.8"/>
    <x v="27"/>
    <x v="2"/>
    <n v="5"/>
    <n v="1"/>
  </r>
  <r>
    <s v="SESS_183"/>
    <d v="2026-05-22T00:00:00"/>
    <x v="2"/>
    <x v="1"/>
    <x v="1"/>
    <n v="101.1"/>
    <x v="165"/>
    <x v="34"/>
    <n v="7"/>
    <n v="2"/>
  </r>
  <r>
    <s v="SESS_184"/>
    <d v="2026-05-22T00:00:00"/>
    <x v="3"/>
    <x v="1"/>
    <x v="1"/>
    <n v="103.7"/>
    <x v="166"/>
    <x v="44"/>
    <n v="7"/>
    <n v="2"/>
  </r>
  <r>
    <s v="SESS_185"/>
    <d v="2026-05-22T00:00:00"/>
    <x v="4"/>
    <x v="5"/>
    <x v="5"/>
    <n v="98.2"/>
    <x v="102"/>
    <x v="52"/>
    <n v="6"/>
    <n v="6"/>
  </r>
  <r>
    <s v="SESS_186"/>
    <d v="2026-05-22T00:00:00"/>
    <x v="5"/>
    <x v="5"/>
    <x v="5"/>
    <n v="96.7"/>
    <x v="167"/>
    <x v="3"/>
    <n v="6"/>
    <n v="6"/>
  </r>
  <r>
    <s v="SESS_187"/>
    <d v="2026-05-23T00:00:00"/>
    <x v="0"/>
    <x v="0"/>
    <x v="0"/>
    <n v="94.3"/>
    <x v="54"/>
    <x v="19"/>
    <n v="5"/>
    <n v="1"/>
  </r>
  <r>
    <s v="SESS_188"/>
    <d v="2026-05-23T00:00:00"/>
    <x v="1"/>
    <x v="0"/>
    <x v="0"/>
    <n v="96.6"/>
    <x v="168"/>
    <x v="48"/>
    <n v="5"/>
    <n v="1"/>
  </r>
  <r>
    <s v="SESS_189"/>
    <d v="2026-05-23T00:00:00"/>
    <x v="2"/>
    <x v="1"/>
    <x v="1"/>
    <n v="102.7"/>
    <x v="169"/>
    <x v="67"/>
    <n v="8"/>
    <n v="2"/>
  </r>
  <r>
    <s v="SESS_190"/>
    <d v="2026-05-23T00:00:00"/>
    <x v="3"/>
    <x v="1"/>
    <x v="1"/>
    <n v="105.6"/>
    <x v="170"/>
    <x v="68"/>
    <n v="8"/>
    <n v="2"/>
  </r>
  <r>
    <s v="SESS_191"/>
    <d v="2026-05-23T00:00:00"/>
    <x v="4"/>
    <x v="2"/>
    <x v="2"/>
    <n v="99.8"/>
    <x v="171"/>
    <x v="69"/>
    <n v="7"/>
    <n v="3"/>
  </r>
  <r>
    <s v="SESS_192"/>
    <d v="2026-05-23T00:00:00"/>
    <x v="5"/>
    <x v="2"/>
    <x v="2"/>
    <n v="98.3"/>
    <x v="172"/>
    <x v="49"/>
    <n v="7"/>
    <n v="3"/>
  </r>
  <r>
    <s v="SESS_193"/>
    <d v="2026-05-27T00:00:00"/>
    <x v="0"/>
    <x v="3"/>
    <x v="3"/>
    <n v="87"/>
    <x v="173"/>
    <x v="70"/>
    <n v="3"/>
    <n v="4"/>
  </r>
  <r>
    <s v="SESS_194"/>
    <d v="2026-05-27T00:00:00"/>
    <x v="1"/>
    <x v="3"/>
    <x v="3"/>
    <n v="88.7"/>
    <x v="174"/>
    <x v="40"/>
    <n v="3"/>
    <n v="4"/>
  </r>
  <r>
    <s v="SESS_195"/>
    <d v="2026-05-27T00:00:00"/>
    <x v="2"/>
    <x v="4"/>
    <x v="4"/>
    <n v="91.5"/>
    <x v="175"/>
    <x v="29"/>
    <n v="4"/>
    <n v="5"/>
  </r>
  <r>
    <s v="SESS_196"/>
    <d v="2026-05-27T00:00:00"/>
    <x v="3"/>
    <x v="4"/>
    <x v="4"/>
    <n v="92.7"/>
    <x v="176"/>
    <x v="7"/>
    <n v="4"/>
    <n v="5"/>
  </r>
  <r>
    <s v="SESS_197"/>
    <d v="2026-05-27T00:00:00"/>
    <x v="4"/>
    <x v="5"/>
    <x v="5"/>
    <n v="94.6"/>
    <x v="177"/>
    <x v="27"/>
    <n v="5"/>
    <n v="6"/>
  </r>
  <r>
    <s v="SESS_198"/>
    <d v="2026-05-27T00:00:00"/>
    <x v="5"/>
    <x v="5"/>
    <x v="5"/>
    <n v="93.2"/>
    <x v="52"/>
    <x v="54"/>
    <n v="5"/>
    <n v="6"/>
  </r>
  <r>
    <s v="SESS_199"/>
    <d v="2026-05-28T00:00:00"/>
    <x v="0"/>
    <x v="3"/>
    <x v="3"/>
    <n v="90"/>
    <x v="178"/>
    <x v="25"/>
    <n v="3"/>
    <n v="4"/>
  </r>
  <r>
    <s v="SESS_200"/>
    <d v="2026-05-28T00:00:00"/>
    <x v="1"/>
    <x v="3"/>
    <x v="3"/>
    <n v="92.3"/>
    <x v="179"/>
    <x v="18"/>
    <n v="3"/>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BEF8A0-BCBC-43EC-BB4E-25695AA129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9:M16" firstHeaderRow="1" firstDataRow="1" firstDataCol="1"/>
  <pivotFields count="10">
    <pivotField showAll="0"/>
    <pivotField numFmtId="14" showAll="0"/>
    <pivotField showAll="0"/>
    <pivotField showAll="0">
      <items count="7">
        <item x="5"/>
        <item x="0"/>
        <item x="3"/>
        <item x="1"/>
        <item x="4"/>
        <item x="2"/>
        <item t="default"/>
      </items>
    </pivotField>
    <pivotField axis="axisRow" showAll="0" sortType="descending">
      <items count="7">
        <item x="3"/>
        <item x="1"/>
        <item x="0"/>
        <item x="5"/>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1">
    <field x="4"/>
  </rowFields>
  <rowItems count="7">
    <i>
      <x v="1"/>
    </i>
    <i>
      <x v="2"/>
    </i>
    <i>
      <x v="4"/>
    </i>
    <i>
      <x v="3"/>
    </i>
    <i>
      <x/>
    </i>
    <i>
      <x v="5"/>
    </i>
    <i t="grand">
      <x/>
    </i>
  </rowItems>
  <colItems count="1">
    <i/>
  </colItems>
  <dataFields count="1">
    <dataField name="Sum of Guest_Count" fld="7"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B6B266-9B32-4044-9EAA-5E089A1777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2:K29" firstHeaderRow="1" firstDataRow="1" firstDataCol="1"/>
  <pivotFields count="10">
    <pivotField showAll="0"/>
    <pivotField numFmtId="14" showAll="0"/>
    <pivotField axis="axisRow" showAll="0" sortType="ascending">
      <items count="7">
        <item x="3"/>
        <item x="4"/>
        <item x="5"/>
        <item x="0"/>
        <item x="1"/>
        <item x="2"/>
        <item t="default"/>
      </items>
      <autoSortScope>
        <pivotArea dataOnly="0" outline="0" fieldPosition="0">
          <references count="1">
            <reference field="4294967294" count="1" selected="0">
              <x v="0"/>
            </reference>
          </references>
        </pivotArea>
      </autoSortScope>
    </pivotField>
    <pivotField showAll="0">
      <items count="7">
        <item x="5"/>
        <item x="0"/>
        <item x="3"/>
        <item x="1"/>
        <item x="4"/>
        <item x="2"/>
        <item t="default"/>
      </items>
    </pivotField>
    <pivotField showAll="0">
      <items count="7">
        <item x="3"/>
        <item x="1"/>
        <item x="0"/>
        <item x="5"/>
        <item x="2"/>
        <item x="4"/>
        <item t="default"/>
      </items>
    </pivotField>
    <pivotField showAll="0"/>
    <pivotField dataField="1" showAll="0"/>
    <pivotField showAll="0"/>
    <pivotField showAll="0"/>
    <pivotField showAll="0"/>
  </pivotFields>
  <rowFields count="1">
    <field x="2"/>
  </rowFields>
  <rowItems count="7">
    <i>
      <x v="3"/>
    </i>
    <i>
      <x v="4"/>
    </i>
    <i>
      <x v="2"/>
    </i>
    <i>
      <x v="5"/>
    </i>
    <i>
      <x/>
    </i>
    <i>
      <x v="1"/>
    </i>
    <i t="grand">
      <x/>
    </i>
  </rowItems>
  <colItems count="1">
    <i/>
  </colItems>
  <dataFields count="1">
    <dataField name="Sum of Total_Drink_Sales_USD"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482093-D00A-4B17-B2D5-9A8BF7D7FEB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5:F46" firstHeaderRow="1" firstDataRow="1" firstDataCol="0"/>
  <pivotFields count="10">
    <pivotField showAll="0"/>
    <pivotField numFmtId="14" showAll="0"/>
    <pivotField showAll="0"/>
    <pivotField showAll="0">
      <items count="7">
        <item x="5"/>
        <item x="0"/>
        <item x="3"/>
        <item x="1"/>
        <item x="4"/>
        <item x="2"/>
        <item t="default"/>
      </items>
    </pivotField>
    <pivotField showAll="0">
      <items count="7">
        <item x="3"/>
        <item x="1"/>
        <item x="0"/>
        <item x="5"/>
        <item x="2"/>
        <item x="4"/>
        <item t="default"/>
      </items>
    </pivotField>
    <pivotField showAll="0"/>
    <pivotField dataField="1" showAll="0"/>
    <pivotField showAll="0"/>
    <pivotField showAll="0"/>
    <pivotField showAll="0"/>
  </pivotFields>
  <rowItems count="1">
    <i/>
  </rowItems>
  <colItems count="1">
    <i/>
  </colItems>
  <dataFields count="1">
    <dataField name="Sum of Total_Drink_Sales_USD"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3DD899-25EE-426A-9D6B-7611089BDC2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5:J36" firstHeaderRow="1" firstDataRow="1" firstDataCol="0"/>
  <pivotFields count="10">
    <pivotField showAll="0"/>
    <pivotField numFmtId="14" showAll="0"/>
    <pivotField showAll="0"/>
    <pivotField showAll="0">
      <items count="7">
        <item x="5"/>
        <item x="0"/>
        <item x="3"/>
        <item x="1"/>
        <item x="4"/>
        <item x="2"/>
        <item t="default"/>
      </items>
    </pivotField>
    <pivotField showAll="0">
      <items count="7">
        <item x="3"/>
        <item x="1"/>
        <item x="0"/>
        <item x="5"/>
        <item x="2"/>
        <item x="4"/>
        <item t="default"/>
      </items>
    </pivotField>
    <pivotField showAll="0"/>
    <pivotField showAll="0"/>
    <pivotField dataField="1" showAll="0"/>
    <pivotField showAll="0"/>
    <pivotField showAll="0"/>
  </pivotFields>
  <rowItems count="1">
    <i/>
  </rowItems>
  <colItems count="1">
    <i/>
  </colItems>
  <dataFields count="1">
    <dataField name="Sum of Guest_C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C925DA-C56B-4E89-9EFB-61A4AC4853D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5:F36" firstHeaderRow="1" firstDataRow="1" firstDataCol="0"/>
  <pivotFields count="10">
    <pivotField showAll="0"/>
    <pivotField numFmtId="14" showAll="0"/>
    <pivotField showAll="0"/>
    <pivotField showAll="0">
      <items count="7">
        <item x="5"/>
        <item x="0"/>
        <item x="3"/>
        <item x="1"/>
        <item x="4"/>
        <item x="2"/>
        <item t="default"/>
      </items>
    </pivotField>
    <pivotField showAll="0">
      <items count="7">
        <item x="3"/>
        <item x="1"/>
        <item x="0"/>
        <item x="5"/>
        <item x="2"/>
        <item x="4"/>
        <item t="default"/>
      </items>
    </pivotField>
    <pivotField showAll="0"/>
    <pivotField dataField="1" showAll="0">
      <items count="181">
        <item x="173"/>
        <item x="154"/>
        <item x="131"/>
        <item x="110"/>
        <item x="89"/>
        <item x="68"/>
        <item x="45"/>
        <item x="6"/>
        <item x="174"/>
        <item x="155"/>
        <item x="132"/>
        <item x="24"/>
        <item x="51"/>
        <item x="90"/>
        <item x="29"/>
        <item x="69"/>
        <item x="95"/>
        <item x="46"/>
        <item x="114"/>
        <item x="7"/>
        <item x="137"/>
        <item x="159"/>
        <item x="175"/>
        <item x="178"/>
        <item x="25"/>
        <item x="156"/>
        <item x="52"/>
        <item x="133"/>
        <item x="158"/>
        <item x="0"/>
        <item x="74"/>
        <item x="30"/>
        <item x="91"/>
        <item x="136"/>
        <item x="176"/>
        <item x="113"/>
        <item x="115"/>
        <item x="70"/>
        <item x="157"/>
        <item x="138"/>
        <item x="94"/>
        <item x="47"/>
        <item x="134"/>
        <item x="73"/>
        <item x="179"/>
        <item x="111"/>
        <item x="26"/>
        <item x="12"/>
        <item x="50"/>
        <item x="92"/>
        <item x="8"/>
        <item x="71"/>
        <item x="57"/>
        <item x="28"/>
        <item x="1"/>
        <item x="48"/>
        <item x="79"/>
        <item x="100"/>
        <item x="18"/>
        <item x="5"/>
        <item x="120"/>
        <item x="143"/>
        <item x="9"/>
        <item x="31"/>
        <item x="164"/>
        <item x="34"/>
        <item x="177"/>
        <item x="11"/>
        <item x="53"/>
        <item x="13"/>
        <item x="62"/>
        <item x="56"/>
        <item x="135"/>
        <item x="75"/>
        <item x="78"/>
        <item x="35"/>
        <item x="112"/>
        <item x="96"/>
        <item x="58"/>
        <item x="99"/>
        <item x="93"/>
        <item x="116"/>
        <item x="80"/>
        <item x="72"/>
        <item x="119"/>
        <item x="32"/>
        <item x="139"/>
        <item x="19"/>
        <item x="101"/>
        <item x="142"/>
        <item x="17"/>
        <item x="160"/>
        <item x="49"/>
        <item x="54"/>
        <item x="121"/>
        <item x="163"/>
        <item x="39"/>
        <item x="76"/>
        <item x="144"/>
        <item x="27"/>
        <item x="40"/>
        <item x="97"/>
        <item x="83"/>
        <item x="2"/>
        <item x="23"/>
        <item x="63"/>
        <item x="117"/>
        <item x="104"/>
        <item x="140"/>
        <item x="44"/>
        <item x="84"/>
        <item x="4"/>
        <item x="161"/>
        <item x="125"/>
        <item x="105"/>
        <item x="148"/>
        <item x="67"/>
        <item x="167"/>
        <item x="10"/>
        <item x="126"/>
        <item x="88"/>
        <item x="33"/>
        <item x="149"/>
        <item x="14"/>
        <item x="168"/>
        <item x="109"/>
        <item x="55"/>
        <item x="3"/>
        <item x="130"/>
        <item x="36"/>
        <item x="77"/>
        <item x="59"/>
        <item x="153"/>
        <item x="81"/>
        <item x="98"/>
        <item x="172"/>
        <item x="16"/>
        <item x="38"/>
        <item x="118"/>
        <item x="141"/>
        <item x="122"/>
        <item x="20"/>
        <item x="61"/>
        <item x="162"/>
        <item x="145"/>
        <item x="15"/>
        <item x="22"/>
        <item x="165"/>
        <item x="41"/>
        <item x="103"/>
        <item x="37"/>
        <item x="43"/>
        <item x="124"/>
        <item x="60"/>
        <item x="64"/>
        <item x="147"/>
        <item x="82"/>
        <item x="66"/>
        <item x="85"/>
        <item x="102"/>
        <item x="87"/>
        <item x="123"/>
        <item x="106"/>
        <item x="21"/>
        <item x="127"/>
        <item x="146"/>
        <item x="108"/>
        <item x="42"/>
        <item x="166"/>
        <item x="150"/>
        <item x="129"/>
        <item x="169"/>
        <item x="65"/>
        <item x="152"/>
        <item x="86"/>
        <item x="171"/>
        <item x="107"/>
        <item x="128"/>
        <item x="151"/>
        <item x="170"/>
        <item t="default"/>
      </items>
    </pivotField>
    <pivotField showAll="0"/>
    <pivotField showAll="0"/>
    <pivotField showAll="0"/>
  </pivotFields>
  <rowItems count="1">
    <i/>
  </rowItems>
  <colItems count="1">
    <i/>
  </colItems>
  <dataFields count="1">
    <dataField name="Average of Total_Drink_Sales_USD" fld="6" subtotal="average"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25A630-8801-4B32-93A6-854A649363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9:F16" firstHeaderRow="0" firstDataRow="1" firstDataCol="1"/>
  <pivotFields count="10">
    <pivotField showAll="0"/>
    <pivotField numFmtId="14" showAll="0"/>
    <pivotField dataField="1" showAll="0"/>
    <pivotField showAll="0">
      <items count="7">
        <item x="5"/>
        <item x="0"/>
        <item x="3"/>
        <item x="1"/>
        <item x="4"/>
        <item x="2"/>
        <item t="default"/>
      </items>
    </pivotField>
    <pivotField axis="axisRow" showAll="0" sortType="ascending">
      <items count="7">
        <item x="3"/>
        <item x="1"/>
        <item x="0"/>
        <item x="5"/>
        <item x="2"/>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4"/>
  </rowFields>
  <rowItems count="7">
    <i>
      <x v="5"/>
    </i>
    <i>
      <x/>
    </i>
    <i>
      <x v="3"/>
    </i>
    <i>
      <x v="2"/>
    </i>
    <i>
      <x v="4"/>
    </i>
    <i>
      <x v="1"/>
    </i>
    <i t="grand">
      <x/>
    </i>
  </rowItems>
  <colFields count="1">
    <field x="-2"/>
  </colFields>
  <colItems count="2">
    <i>
      <x/>
    </i>
    <i i="1">
      <x v="1"/>
    </i>
  </colItems>
  <dataFields count="2">
    <dataField name="Sum of Total_Drink_Sales_USD" fld="6" baseField="0" baseItem="0"/>
    <dataField name="Count of Hour_Block" fld="2" subtotal="count"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C24891-B092-4274-9CDF-C267B9CD72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2:E29" firstHeaderRow="1" firstDataRow="1" firstDataCol="1"/>
  <pivotFields count="10">
    <pivotField showAll="0"/>
    <pivotField numFmtId="14" showAll="0"/>
    <pivotField showAll="0"/>
    <pivotField axis="axisRow" showAll="0">
      <items count="7">
        <item x="5"/>
        <item x="0"/>
        <item x="3"/>
        <item x="1"/>
        <item x="4"/>
        <item x="2"/>
        <item t="default"/>
      </items>
    </pivotField>
    <pivotField showAll="0">
      <items count="7">
        <item x="3"/>
        <item x="1"/>
        <item x="0"/>
        <item x="5"/>
        <item x="2"/>
        <item x="4"/>
        <item t="default"/>
      </items>
    </pivotField>
    <pivotField showAll="0"/>
    <pivotField dataField="1" showAll="0"/>
    <pivotField showAll="0"/>
    <pivotField showAll="0"/>
    <pivotField showAll="0"/>
  </pivotFields>
  <rowFields count="1">
    <field x="3"/>
  </rowFields>
  <rowItems count="7">
    <i>
      <x/>
    </i>
    <i>
      <x v="1"/>
    </i>
    <i>
      <x v="2"/>
    </i>
    <i>
      <x v="3"/>
    </i>
    <i>
      <x v="4"/>
    </i>
    <i>
      <x v="5"/>
    </i>
    <i t="grand">
      <x/>
    </i>
  </rowItems>
  <colItems count="1">
    <i/>
  </colItems>
  <dataFields count="1">
    <dataField name="Sum of Total_Drink_Sales_USD" fld="6" baseField="0" baseItem="0"/>
  </dataFields>
  <formats count="1">
    <format dxfId="2">
      <pivotArea grandRow="1" outline="0" collapsedLevelsAreSubtotals="1" fieldPosition="0"/>
    </format>
  </formats>
  <chartFormats count="7">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 chart="5" format="12">
      <pivotArea type="data" outline="0" fieldPosition="0">
        <references count="2">
          <reference field="4294967294" count="1" selected="0">
            <x v="0"/>
          </reference>
          <reference field="3" count="1" selected="0">
            <x v="3"/>
          </reference>
        </references>
      </pivotArea>
    </chartFormat>
    <chartFormat chart="5" format="13">
      <pivotArea type="data" outline="0" fieldPosition="0">
        <references count="2">
          <reference field="4294967294" count="1" selected="0">
            <x v="0"/>
          </reference>
          <reference field="3" count="1" selected="0">
            <x v="4"/>
          </reference>
        </references>
      </pivotArea>
    </chartFormat>
    <chartFormat chart="5"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22C09D-F14D-41AD-846C-D339057D46A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2:N94" firstHeaderRow="1" firstDataRow="1" firstDataCol="1"/>
  <pivotFields count="10">
    <pivotField showAll="0"/>
    <pivotField numFmtId="14" showAll="0"/>
    <pivotField showAll="0"/>
    <pivotField showAll="0">
      <items count="7">
        <item x="5"/>
        <item x="0"/>
        <item x="3"/>
        <item x="1"/>
        <item x="4"/>
        <item x="2"/>
        <item t="default"/>
      </items>
    </pivotField>
    <pivotField showAll="0">
      <items count="7">
        <item x="3"/>
        <item x="1"/>
        <item x="0"/>
        <item x="5"/>
        <item x="2"/>
        <item x="4"/>
        <item t="default"/>
      </items>
    </pivotField>
    <pivotField showAll="0"/>
    <pivotField dataField="1" showAll="0"/>
    <pivotField axis="axisRow" showAll="0">
      <items count="72">
        <item x="70"/>
        <item x="66"/>
        <item x="63"/>
        <item x="58"/>
        <item x="53"/>
        <item x="46"/>
        <item x="40"/>
        <item x="6"/>
        <item x="24"/>
        <item x="29"/>
        <item x="54"/>
        <item x="47"/>
        <item x="0"/>
        <item x="7"/>
        <item x="25"/>
        <item x="30"/>
        <item x="12"/>
        <item x="26"/>
        <item x="8"/>
        <item x="1"/>
        <item x="18"/>
        <item x="27"/>
        <item x="5"/>
        <item x="9"/>
        <item x="11"/>
        <item x="13"/>
        <item x="32"/>
        <item x="31"/>
        <item x="19"/>
        <item x="17"/>
        <item x="35"/>
        <item x="28"/>
        <item x="2"/>
        <item x="23"/>
        <item x="39"/>
        <item x="10"/>
        <item x="4"/>
        <item x="61"/>
        <item x="41"/>
        <item x="3"/>
        <item x="48"/>
        <item x="14"/>
        <item x="33"/>
        <item x="42"/>
        <item x="49"/>
        <item x="16"/>
        <item x="20"/>
        <item x="59"/>
        <item x="36"/>
        <item x="15"/>
        <item x="22"/>
        <item x="34"/>
        <item x="38"/>
        <item x="43"/>
        <item x="50"/>
        <item x="45"/>
        <item x="55"/>
        <item x="21"/>
        <item x="52"/>
        <item x="60"/>
        <item x="37"/>
        <item x="57"/>
        <item x="67"/>
        <item x="44"/>
        <item x="65"/>
        <item x="51"/>
        <item x="69"/>
        <item x="56"/>
        <item x="62"/>
        <item x="64"/>
        <item x="68"/>
        <item t="default"/>
      </items>
    </pivotField>
    <pivotField showAll="0"/>
    <pivotField showAll="0"/>
  </pivotFields>
  <rowFields count="1">
    <field x="7"/>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t="grand">
      <x/>
    </i>
  </rowItems>
  <colItems count="1">
    <i/>
  </colItems>
  <dataFields count="1">
    <dataField name="Sum of Total_Drink_Sales_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37D2540-2251-4E4C-AA5B-296C14FF2815}" autoFormatId="16" applyNumberFormats="0" applyBorderFormats="0" applyFontFormats="0" applyPatternFormats="0" applyAlignmentFormats="0" applyWidthHeightFormats="0">
  <queryTableRefresh nextId="12">
    <queryTableFields count="10">
      <queryTableField id="1" name="Session_ID" tableColumnId="1"/>
      <queryTableField id="2" name="Date" tableColumnId="2"/>
      <queryTableField id="3" name="Hour_Block" tableColumnId="3"/>
      <queryTableField id="4" name="DJ_Name" tableColumnId="4"/>
      <queryTableField id="5" name="Primary_Genre" tableColumnId="5"/>
      <queryTableField id="6" name="Average_Decibels" tableColumnId="6"/>
      <queryTableField id="7" name="Total_Drink_Sales_USD" tableColumnId="7"/>
      <queryTableField id="8" name="Guest_Count" tableColumnId="8"/>
      <queryTableField id="9" name="Bar_Staff_Count" tableColumnId="9"/>
      <queryTableField id="10" name="Genre code "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J_Name" xr10:uid="{98EC26B0-F0B7-4F10-B816-0F83432EF3CC}" sourceName="DJ_Name">
  <pivotTables>
    <pivotTable tabId="3" name="PivotTable3"/>
    <pivotTable tabId="3" name="PivotTable2"/>
    <pivotTable tabId="3" name="PivotTable4"/>
    <pivotTable tabId="3" name="PivotTable5"/>
    <pivotTable tabId="3" name="PivotTable12"/>
    <pivotTable tabId="3" name="PivotTable9"/>
    <pivotTable tabId="3" name="PivotTable1"/>
    <pivotTable tabId="3" name="PivotTable13"/>
  </pivotTables>
  <data>
    <tabular pivotCacheId="1928979500">
      <items count="6">
        <i x="5" s="1"/>
        <i x="0" s="1"/>
        <i x="3"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Genre" xr10:uid="{96F3030A-09DA-40B7-B4DA-1BFC6EC304DD}" sourceName="Primary_Genre">
  <pivotTables>
    <pivotTable tabId="3" name="PivotTable3"/>
    <pivotTable tabId="3" name="PivotTable1"/>
    <pivotTable tabId="3" name="PivotTable12"/>
    <pivotTable tabId="3" name="PivotTable13"/>
    <pivotTable tabId="3" name="PivotTable4"/>
    <pivotTable tabId="3" name="PivotTable5"/>
    <pivotTable tabId="3" name="PivotTable9"/>
    <pivotTable tabId="3" name="PivotTable2"/>
  </pivotTables>
  <data>
    <tabular pivotCacheId="1928979500">
      <items count="6">
        <i x="3" s="1"/>
        <i x="1" s="1"/>
        <i x="0" s="1"/>
        <i x="5"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J_Name" xr10:uid="{E8FB9ECC-9395-4B61-9E93-1C5C7796CC67}" cache="Slicer_DJ_Name" caption="DJ_Name" style="SlicerStyleOther1" rowHeight="234950"/>
  <slicer name="Primary_Genre" xr10:uid="{78A0B647-ADBE-4B59-BBE4-A3DEDE90B411}" cache="Slicer_Primary_Genre" caption="Primary_Genre"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A8A18B-44EE-44C4-9291-F3DB680F70E2}" name="Sheet1" displayName="Sheet1" ref="A1:J201" tableType="queryTable" totalsRowShown="0">
  <autoFilter ref="A1:J201" xr:uid="{89A8A18B-44EE-44C4-9291-F3DB680F70E2}"/>
  <tableColumns count="10">
    <tableColumn id="1" xr3:uid="{11139285-9CE9-4631-8468-041B36A77006}" uniqueName="1" name="Session_ID" queryTableFieldId="1" dataDxfId="7"/>
    <tableColumn id="2" xr3:uid="{A02E0B63-8BB4-477D-840B-D521B19AD51A}" uniqueName="2" name="Date" queryTableFieldId="2" dataDxfId="6"/>
    <tableColumn id="3" xr3:uid="{32C246F8-4268-4CB3-A57F-15882214DF7D}" uniqueName="3" name="Hour_Block" queryTableFieldId="3" dataDxfId="5"/>
    <tableColumn id="4" xr3:uid="{92B14877-C26F-4598-AD86-A06D4ED8313A}" uniqueName="4" name="DJ_Name" queryTableFieldId="4" dataDxfId="4"/>
    <tableColumn id="5" xr3:uid="{F6B0CC79-F230-4F9C-8691-C43E20945ECA}" uniqueName="5" name="Primary_Genre" queryTableFieldId="5" dataDxfId="3"/>
    <tableColumn id="6" xr3:uid="{2129622F-D021-48FB-9957-0BBE52029638}" uniqueName="6" name="Average_Decibels" queryTableFieldId="6"/>
    <tableColumn id="7" xr3:uid="{18BF1B15-505A-4C9A-828A-7D03E012E711}" uniqueName="7" name="Total_Drink_Sales_USD" queryTableFieldId="7"/>
    <tableColumn id="8" xr3:uid="{55632204-0AE4-437B-B5E3-595CDB56E3E1}" uniqueName="8" name="Guest_Count" queryTableFieldId="8"/>
    <tableColumn id="9" xr3:uid="{FEB7B9ED-38EE-4E93-B886-B4C98B5E7D68}" uniqueName="9" name="Bar_Staff_Count" queryTableFieldId="9"/>
    <tableColumn id="10" xr3:uid="{C5F9F228-38C5-4EAD-BC70-3B75A9110A2C}" uniqueName="10" name="Genre code "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F8B21-E439-41EC-9F4D-98376E8C540C}">
  <dimension ref="A1:N201"/>
  <sheetViews>
    <sheetView topLeftCell="A13" workbookViewId="0">
      <selection activeCell="D23" sqref="D23"/>
    </sheetView>
  </sheetViews>
  <sheetFormatPr defaultRowHeight="14.4" x14ac:dyDescent="0.3"/>
  <cols>
    <col min="1" max="1" width="12.21875" bestFit="1" customWidth="1"/>
    <col min="2" max="2" width="10.5546875" bestFit="1" customWidth="1"/>
    <col min="3" max="3" width="12.88671875" bestFit="1" customWidth="1"/>
    <col min="4" max="4" width="15.109375" bestFit="1" customWidth="1"/>
    <col min="5" max="5" width="15.88671875" bestFit="1" customWidth="1"/>
    <col min="6" max="6" width="18.109375" bestFit="1" customWidth="1"/>
    <col min="7" max="7" width="22.88671875" bestFit="1" customWidth="1"/>
    <col min="8" max="8" width="14.109375" bestFit="1" customWidth="1"/>
    <col min="9" max="9" width="17.21875" bestFit="1" customWidth="1"/>
    <col min="10" max="10" width="13.21875" bestFit="1" customWidth="1"/>
  </cols>
  <sheetData>
    <row r="1" spans="1:14" x14ac:dyDescent="0.3">
      <c r="A1" t="s">
        <v>0</v>
      </c>
      <c r="B1" t="s">
        <v>1</v>
      </c>
      <c r="C1" t="s">
        <v>2</v>
      </c>
      <c r="D1" t="s">
        <v>3</v>
      </c>
      <c r="E1" t="s">
        <v>4</v>
      </c>
      <c r="F1" t="s">
        <v>5</v>
      </c>
      <c r="G1" t="s">
        <v>6</v>
      </c>
      <c r="H1" t="s">
        <v>7</v>
      </c>
      <c r="I1" t="s">
        <v>8</v>
      </c>
      <c r="J1" t="s">
        <v>227</v>
      </c>
    </row>
    <row r="2" spans="1:14" x14ac:dyDescent="0.3">
      <c r="A2" s="2" t="s">
        <v>9</v>
      </c>
      <c r="B2" s="1">
        <v>46113</v>
      </c>
      <c r="C2" s="2" t="s">
        <v>10</v>
      </c>
      <c r="D2" s="2" t="s">
        <v>11</v>
      </c>
      <c r="E2" s="2" t="s">
        <v>12</v>
      </c>
      <c r="F2">
        <v>92.5</v>
      </c>
      <c r="G2">
        <v>1420.5</v>
      </c>
      <c r="H2">
        <v>110</v>
      </c>
      <c r="I2">
        <v>4</v>
      </c>
      <c r="J2">
        <v>1</v>
      </c>
    </row>
    <row r="3" spans="1:14" x14ac:dyDescent="0.3">
      <c r="A3" s="2" t="s">
        <v>13</v>
      </c>
      <c r="B3" s="1">
        <v>46113</v>
      </c>
      <c r="C3" s="2" t="s">
        <v>14</v>
      </c>
      <c r="D3" s="2" t="s">
        <v>11</v>
      </c>
      <c r="E3" s="2" t="s">
        <v>12</v>
      </c>
      <c r="F3">
        <v>94.1</v>
      </c>
      <c r="G3">
        <v>1850</v>
      </c>
      <c r="H3">
        <v>145</v>
      </c>
      <c r="I3">
        <v>4</v>
      </c>
      <c r="J3">
        <v>1</v>
      </c>
    </row>
    <row r="4" spans="1:14" x14ac:dyDescent="0.3">
      <c r="A4" s="2" t="s">
        <v>15</v>
      </c>
      <c r="B4" s="1">
        <v>46113</v>
      </c>
      <c r="C4" s="2" t="s">
        <v>16</v>
      </c>
      <c r="D4" s="2" t="s">
        <v>17</v>
      </c>
      <c r="E4" s="2" t="s">
        <v>18</v>
      </c>
      <c r="F4">
        <v>98.2</v>
      </c>
      <c r="G4">
        <v>2940.25</v>
      </c>
      <c r="H4">
        <v>210</v>
      </c>
      <c r="I4">
        <v>6</v>
      </c>
      <c r="J4">
        <v>2</v>
      </c>
    </row>
    <row r="5" spans="1:14" x14ac:dyDescent="0.3">
      <c r="A5" s="2" t="s">
        <v>19</v>
      </c>
      <c r="B5" s="1">
        <v>46113</v>
      </c>
      <c r="C5" s="2" t="s">
        <v>20</v>
      </c>
      <c r="D5" s="2" t="s">
        <v>17</v>
      </c>
      <c r="E5" s="2" t="s">
        <v>18</v>
      </c>
      <c r="F5">
        <v>101.4</v>
      </c>
      <c r="G5">
        <v>3610</v>
      </c>
      <c r="H5">
        <v>245</v>
      </c>
      <c r="I5">
        <v>6</v>
      </c>
      <c r="J5">
        <v>2</v>
      </c>
    </row>
    <row r="6" spans="1:14" x14ac:dyDescent="0.3">
      <c r="A6" s="2" t="s">
        <v>21</v>
      </c>
      <c r="B6" s="1">
        <v>46113</v>
      </c>
      <c r="C6" s="2" t="s">
        <v>22</v>
      </c>
      <c r="D6" s="2" t="s">
        <v>23</v>
      </c>
      <c r="E6" s="2" t="s">
        <v>24</v>
      </c>
      <c r="F6">
        <v>96.8</v>
      </c>
      <c r="G6">
        <v>3120.75</v>
      </c>
      <c r="H6">
        <v>230</v>
      </c>
      <c r="I6">
        <v>5</v>
      </c>
      <c r="J6">
        <v>3</v>
      </c>
    </row>
    <row r="7" spans="1:14" x14ac:dyDescent="0.3">
      <c r="A7" s="2" t="s">
        <v>25</v>
      </c>
      <c r="B7" s="1">
        <v>46113</v>
      </c>
      <c r="C7" s="2" t="s">
        <v>26</v>
      </c>
      <c r="D7" s="2" t="s">
        <v>23</v>
      </c>
      <c r="E7" s="2" t="s">
        <v>24</v>
      </c>
      <c r="F7">
        <v>95.3</v>
      </c>
      <c r="G7">
        <v>1980.5</v>
      </c>
      <c r="H7">
        <v>160</v>
      </c>
      <c r="I7">
        <v>5</v>
      </c>
      <c r="J7">
        <v>3</v>
      </c>
    </row>
    <row r="8" spans="1:14" x14ac:dyDescent="0.3">
      <c r="A8" s="2" t="s">
        <v>27</v>
      </c>
      <c r="B8" s="1">
        <v>46114</v>
      </c>
      <c r="C8" s="2" t="s">
        <v>10</v>
      </c>
      <c r="D8" s="2" t="s">
        <v>28</v>
      </c>
      <c r="E8" s="2" t="s">
        <v>29</v>
      </c>
      <c r="F8">
        <v>88.4</v>
      </c>
      <c r="G8">
        <v>980</v>
      </c>
      <c r="H8">
        <v>85</v>
      </c>
      <c r="I8">
        <v>3</v>
      </c>
      <c r="J8">
        <v>4</v>
      </c>
    </row>
    <row r="9" spans="1:14" x14ac:dyDescent="0.3">
      <c r="A9" s="2" t="s">
        <v>30</v>
      </c>
      <c r="B9" s="1">
        <v>46114</v>
      </c>
      <c r="C9" s="2" t="s">
        <v>14</v>
      </c>
      <c r="D9" s="2" t="s">
        <v>28</v>
      </c>
      <c r="E9" s="2" t="s">
        <v>29</v>
      </c>
      <c r="F9">
        <v>90.2</v>
      </c>
      <c r="G9">
        <v>1240.25</v>
      </c>
      <c r="H9">
        <v>115</v>
      </c>
      <c r="I9">
        <v>3</v>
      </c>
      <c r="J9">
        <v>4</v>
      </c>
    </row>
    <row r="10" spans="1:14" x14ac:dyDescent="0.3">
      <c r="A10" s="2" t="s">
        <v>31</v>
      </c>
      <c r="B10" s="1">
        <v>46114</v>
      </c>
      <c r="C10" s="2" t="s">
        <v>16</v>
      </c>
      <c r="D10" s="2" t="s">
        <v>32</v>
      </c>
      <c r="E10" s="2" t="s">
        <v>33</v>
      </c>
      <c r="F10">
        <v>93.7</v>
      </c>
      <c r="G10">
        <v>1750.5</v>
      </c>
      <c r="H10">
        <v>140</v>
      </c>
      <c r="I10">
        <v>4</v>
      </c>
      <c r="J10">
        <v>5</v>
      </c>
    </row>
    <row r="11" spans="1:14" x14ac:dyDescent="0.3">
      <c r="A11" s="2" t="s">
        <v>34</v>
      </c>
      <c r="B11" s="1">
        <v>46114</v>
      </c>
      <c r="C11" s="2" t="s">
        <v>20</v>
      </c>
      <c r="D11" s="2" t="s">
        <v>32</v>
      </c>
      <c r="E11" s="2" t="s">
        <v>33</v>
      </c>
      <c r="F11">
        <v>94.1</v>
      </c>
      <c r="G11">
        <v>2100</v>
      </c>
      <c r="H11">
        <v>165</v>
      </c>
      <c r="I11">
        <v>4</v>
      </c>
      <c r="J11">
        <v>5</v>
      </c>
    </row>
    <row r="12" spans="1:14" x14ac:dyDescent="0.3">
      <c r="A12" s="2" t="s">
        <v>35</v>
      </c>
      <c r="B12" s="1">
        <v>46114</v>
      </c>
      <c r="C12" s="2" t="s">
        <v>22</v>
      </c>
      <c r="D12" s="2" t="s">
        <v>23</v>
      </c>
      <c r="E12" s="2" t="s">
        <v>24</v>
      </c>
      <c r="F12">
        <v>97.2</v>
      </c>
      <c r="G12">
        <v>3340.5</v>
      </c>
      <c r="H12">
        <v>225</v>
      </c>
      <c r="I12">
        <v>5</v>
      </c>
      <c r="J12">
        <v>3</v>
      </c>
    </row>
    <row r="13" spans="1:14" x14ac:dyDescent="0.3">
      <c r="A13" s="2" t="s">
        <v>36</v>
      </c>
      <c r="B13" s="1">
        <v>46114</v>
      </c>
      <c r="C13" s="2" t="s">
        <v>26</v>
      </c>
      <c r="D13" s="2" t="s">
        <v>23</v>
      </c>
      <c r="E13" s="2" t="s">
        <v>24</v>
      </c>
      <c r="F13">
        <v>96</v>
      </c>
      <c r="G13">
        <v>2210</v>
      </c>
      <c r="H13">
        <v>170</v>
      </c>
      <c r="I13">
        <v>5</v>
      </c>
      <c r="J13">
        <v>3</v>
      </c>
    </row>
    <row r="14" spans="1:14" x14ac:dyDescent="0.3">
      <c r="A14" s="2" t="s">
        <v>37</v>
      </c>
      <c r="B14" s="1">
        <v>46115</v>
      </c>
      <c r="C14" s="2" t="s">
        <v>10</v>
      </c>
      <c r="D14" s="2" t="s">
        <v>11</v>
      </c>
      <c r="E14" s="2" t="s">
        <v>12</v>
      </c>
      <c r="F14">
        <v>93</v>
      </c>
      <c r="G14">
        <v>1680.75</v>
      </c>
      <c r="H14">
        <v>130</v>
      </c>
      <c r="I14">
        <v>4</v>
      </c>
      <c r="J14">
        <v>1</v>
      </c>
      <c r="N14">
        <f>CORREL(G:G,J:J)</f>
        <v>-0.27630154556769254</v>
      </c>
    </row>
    <row r="15" spans="1:14" x14ac:dyDescent="0.3">
      <c r="A15" s="2" t="s">
        <v>38</v>
      </c>
      <c r="B15" s="1">
        <v>46115</v>
      </c>
      <c r="C15" s="2" t="s">
        <v>14</v>
      </c>
      <c r="D15" s="2" t="s">
        <v>11</v>
      </c>
      <c r="E15" s="2" t="s">
        <v>12</v>
      </c>
      <c r="F15">
        <v>95.4</v>
      </c>
      <c r="G15">
        <v>2240</v>
      </c>
      <c r="H15">
        <v>175</v>
      </c>
      <c r="I15">
        <v>5</v>
      </c>
      <c r="J15">
        <v>1</v>
      </c>
    </row>
    <row r="16" spans="1:14" x14ac:dyDescent="0.3">
      <c r="A16" s="2" t="s">
        <v>39</v>
      </c>
      <c r="B16" s="1">
        <v>46115</v>
      </c>
      <c r="C16" s="2" t="s">
        <v>16</v>
      </c>
      <c r="D16" s="2" t="s">
        <v>17</v>
      </c>
      <c r="E16" s="2" t="s">
        <v>18</v>
      </c>
      <c r="F16">
        <v>99.6</v>
      </c>
      <c r="G16">
        <v>3480.5</v>
      </c>
      <c r="H16">
        <v>260</v>
      </c>
      <c r="I16">
        <v>7</v>
      </c>
      <c r="J16">
        <v>2</v>
      </c>
    </row>
    <row r="17" spans="1:10" x14ac:dyDescent="0.3">
      <c r="A17" s="2" t="s">
        <v>40</v>
      </c>
      <c r="B17" s="1">
        <v>46115</v>
      </c>
      <c r="C17" s="2" t="s">
        <v>20</v>
      </c>
      <c r="D17" s="2" t="s">
        <v>17</v>
      </c>
      <c r="E17" s="2" t="s">
        <v>18</v>
      </c>
      <c r="F17">
        <v>102.1</v>
      </c>
      <c r="G17">
        <v>4250</v>
      </c>
      <c r="H17">
        <v>310</v>
      </c>
      <c r="I17">
        <v>7</v>
      </c>
      <c r="J17">
        <v>2</v>
      </c>
    </row>
    <row r="18" spans="1:10" x14ac:dyDescent="0.3">
      <c r="A18" s="2" t="s">
        <v>41</v>
      </c>
      <c r="B18" s="1">
        <v>46115</v>
      </c>
      <c r="C18" s="2" t="s">
        <v>22</v>
      </c>
      <c r="D18" s="2" t="s">
        <v>42</v>
      </c>
      <c r="E18" s="2" t="s">
        <v>43</v>
      </c>
      <c r="F18">
        <v>97.5</v>
      </c>
      <c r="G18">
        <v>3890.25</v>
      </c>
      <c r="H18">
        <v>290</v>
      </c>
      <c r="I18">
        <v>6</v>
      </c>
      <c r="J18">
        <v>6</v>
      </c>
    </row>
    <row r="19" spans="1:10" x14ac:dyDescent="0.3">
      <c r="A19" s="2" t="s">
        <v>44</v>
      </c>
      <c r="B19" s="1">
        <v>46115</v>
      </c>
      <c r="C19" s="2" t="s">
        <v>26</v>
      </c>
      <c r="D19" s="2" t="s">
        <v>42</v>
      </c>
      <c r="E19" s="2" t="s">
        <v>43</v>
      </c>
      <c r="F19">
        <v>96.2</v>
      </c>
      <c r="G19">
        <v>2640</v>
      </c>
      <c r="H19">
        <v>195</v>
      </c>
      <c r="I19">
        <v>6</v>
      </c>
      <c r="J19">
        <v>6</v>
      </c>
    </row>
    <row r="20" spans="1:10" x14ac:dyDescent="0.3">
      <c r="A20" s="2" t="s">
        <v>45</v>
      </c>
      <c r="B20" s="1">
        <v>46116</v>
      </c>
      <c r="C20" s="2" t="s">
        <v>10</v>
      </c>
      <c r="D20" s="2" t="s">
        <v>11</v>
      </c>
      <c r="E20" s="2" t="s">
        <v>12</v>
      </c>
      <c r="F20">
        <v>93.5</v>
      </c>
      <c r="G20">
        <v>1950</v>
      </c>
      <c r="H20">
        <v>150</v>
      </c>
      <c r="I20">
        <v>5</v>
      </c>
      <c r="J20">
        <v>1</v>
      </c>
    </row>
    <row r="21" spans="1:10" x14ac:dyDescent="0.3">
      <c r="A21" s="2" t="s">
        <v>46</v>
      </c>
      <c r="B21" s="1">
        <v>46116</v>
      </c>
      <c r="C21" s="2" t="s">
        <v>14</v>
      </c>
      <c r="D21" s="2" t="s">
        <v>11</v>
      </c>
      <c r="E21" s="2" t="s">
        <v>12</v>
      </c>
      <c r="F21">
        <v>95.1</v>
      </c>
      <c r="G21">
        <v>2600.5</v>
      </c>
      <c r="H21">
        <v>190</v>
      </c>
      <c r="I21">
        <v>5</v>
      </c>
      <c r="J21">
        <v>1</v>
      </c>
    </row>
    <row r="22" spans="1:10" x14ac:dyDescent="0.3">
      <c r="A22" s="2" t="s">
        <v>47</v>
      </c>
      <c r="B22" s="1">
        <v>46116</v>
      </c>
      <c r="C22" s="2" t="s">
        <v>16</v>
      </c>
      <c r="D22" s="2" t="s">
        <v>17</v>
      </c>
      <c r="E22" s="2" t="s">
        <v>18</v>
      </c>
      <c r="F22">
        <v>100.3</v>
      </c>
      <c r="G22">
        <v>4100.75</v>
      </c>
      <c r="H22">
        <v>295</v>
      </c>
      <c r="I22">
        <v>8</v>
      </c>
      <c r="J22">
        <v>2</v>
      </c>
    </row>
    <row r="23" spans="1:10" x14ac:dyDescent="0.3">
      <c r="A23" s="2" t="s">
        <v>48</v>
      </c>
      <c r="B23" s="1">
        <v>46116</v>
      </c>
      <c r="C23" s="2" t="s">
        <v>20</v>
      </c>
      <c r="D23" s="2" t="s">
        <v>17</v>
      </c>
      <c r="E23" s="2" t="s">
        <v>18</v>
      </c>
      <c r="F23">
        <v>103.5</v>
      </c>
      <c r="G23">
        <v>4980</v>
      </c>
      <c r="H23">
        <v>350</v>
      </c>
      <c r="I23">
        <v>8</v>
      </c>
      <c r="J23">
        <v>2</v>
      </c>
    </row>
    <row r="24" spans="1:10" x14ac:dyDescent="0.3">
      <c r="A24" s="2" t="s">
        <v>49</v>
      </c>
      <c r="B24" s="1">
        <v>46116</v>
      </c>
      <c r="C24" s="2" t="s">
        <v>22</v>
      </c>
      <c r="D24" s="2" t="s">
        <v>23</v>
      </c>
      <c r="E24" s="2" t="s">
        <v>24</v>
      </c>
      <c r="F24">
        <v>98</v>
      </c>
      <c r="G24">
        <v>4320.5</v>
      </c>
      <c r="H24">
        <v>315</v>
      </c>
      <c r="I24">
        <v>7</v>
      </c>
      <c r="J24">
        <v>3</v>
      </c>
    </row>
    <row r="25" spans="1:10" x14ac:dyDescent="0.3">
      <c r="A25" s="2" t="s">
        <v>50</v>
      </c>
      <c r="B25" s="1">
        <v>46116</v>
      </c>
      <c r="C25" s="2" t="s">
        <v>26</v>
      </c>
      <c r="D25" s="2" t="s">
        <v>23</v>
      </c>
      <c r="E25" s="2" t="s">
        <v>24</v>
      </c>
      <c r="F25">
        <v>96.6</v>
      </c>
      <c r="G25">
        <v>2950</v>
      </c>
      <c r="H25">
        <v>215</v>
      </c>
      <c r="I25">
        <v>7</v>
      </c>
      <c r="J25">
        <v>3</v>
      </c>
    </row>
    <row r="26" spans="1:10" x14ac:dyDescent="0.3">
      <c r="A26" s="2" t="s">
        <v>51</v>
      </c>
      <c r="B26" s="1">
        <v>46120</v>
      </c>
      <c r="C26" s="2" t="s">
        <v>10</v>
      </c>
      <c r="D26" s="2" t="s">
        <v>28</v>
      </c>
      <c r="E26" s="2" t="s">
        <v>29</v>
      </c>
      <c r="F26">
        <v>89.1</v>
      </c>
      <c r="G26">
        <v>1050.5</v>
      </c>
      <c r="H26">
        <v>90</v>
      </c>
      <c r="I26">
        <v>3</v>
      </c>
      <c r="J26">
        <v>4</v>
      </c>
    </row>
    <row r="27" spans="1:10" x14ac:dyDescent="0.3">
      <c r="A27" s="2" t="s">
        <v>52</v>
      </c>
      <c r="B27" s="1">
        <v>46120</v>
      </c>
      <c r="C27" s="2" t="s">
        <v>14</v>
      </c>
      <c r="D27" s="2" t="s">
        <v>28</v>
      </c>
      <c r="E27" s="2" t="s">
        <v>29</v>
      </c>
      <c r="F27">
        <v>91</v>
      </c>
      <c r="G27">
        <v>1310</v>
      </c>
      <c r="H27">
        <v>120</v>
      </c>
      <c r="I27">
        <v>3</v>
      </c>
      <c r="J27">
        <v>4</v>
      </c>
    </row>
    <row r="28" spans="1:10" x14ac:dyDescent="0.3">
      <c r="A28" s="2" t="s">
        <v>53</v>
      </c>
      <c r="B28" s="1">
        <v>46120</v>
      </c>
      <c r="C28" s="2" t="s">
        <v>16</v>
      </c>
      <c r="D28" s="2" t="s">
        <v>32</v>
      </c>
      <c r="E28" s="2" t="s">
        <v>33</v>
      </c>
      <c r="F28">
        <v>93.2</v>
      </c>
      <c r="G28">
        <v>1680.25</v>
      </c>
      <c r="H28">
        <v>135</v>
      </c>
      <c r="I28">
        <v>4</v>
      </c>
      <c r="J28">
        <v>5</v>
      </c>
    </row>
    <row r="29" spans="1:10" x14ac:dyDescent="0.3">
      <c r="A29" s="2" t="s">
        <v>54</v>
      </c>
      <c r="B29" s="1">
        <v>46120</v>
      </c>
      <c r="C29" s="2" t="s">
        <v>20</v>
      </c>
      <c r="D29" s="2" t="s">
        <v>32</v>
      </c>
      <c r="E29" s="2" t="s">
        <v>33</v>
      </c>
      <c r="F29">
        <v>94.6</v>
      </c>
      <c r="G29">
        <v>1980.5</v>
      </c>
      <c r="H29">
        <v>155</v>
      </c>
      <c r="I29">
        <v>4</v>
      </c>
      <c r="J29">
        <v>5</v>
      </c>
    </row>
    <row r="30" spans="1:10" x14ac:dyDescent="0.3">
      <c r="A30" s="2" t="s">
        <v>55</v>
      </c>
      <c r="B30" s="1">
        <v>46120</v>
      </c>
      <c r="C30" s="2" t="s">
        <v>22</v>
      </c>
      <c r="D30" s="2" t="s">
        <v>42</v>
      </c>
      <c r="E30" s="2" t="s">
        <v>43</v>
      </c>
      <c r="F30">
        <v>96.4</v>
      </c>
      <c r="G30">
        <v>2840</v>
      </c>
      <c r="H30">
        <v>205</v>
      </c>
      <c r="I30">
        <v>5</v>
      </c>
      <c r="J30">
        <v>6</v>
      </c>
    </row>
    <row r="31" spans="1:10" x14ac:dyDescent="0.3">
      <c r="A31" s="2" t="s">
        <v>56</v>
      </c>
      <c r="B31" s="1">
        <v>46120</v>
      </c>
      <c r="C31" s="2" t="s">
        <v>26</v>
      </c>
      <c r="D31" s="2" t="s">
        <v>42</v>
      </c>
      <c r="E31" s="2" t="s">
        <v>43</v>
      </c>
      <c r="F31">
        <v>95</v>
      </c>
      <c r="G31">
        <v>1820.25</v>
      </c>
      <c r="H31">
        <v>140</v>
      </c>
      <c r="I31">
        <v>5</v>
      </c>
      <c r="J31">
        <v>6</v>
      </c>
    </row>
    <row r="32" spans="1:10" x14ac:dyDescent="0.3">
      <c r="A32" s="2" t="s">
        <v>57</v>
      </c>
      <c r="B32" s="1">
        <v>46121</v>
      </c>
      <c r="C32" s="2" t="s">
        <v>10</v>
      </c>
      <c r="D32" s="2" t="s">
        <v>28</v>
      </c>
      <c r="E32" s="2" t="s">
        <v>29</v>
      </c>
      <c r="F32">
        <v>88.7</v>
      </c>
      <c r="G32">
        <v>1120</v>
      </c>
      <c r="H32">
        <v>95</v>
      </c>
      <c r="I32">
        <v>3</v>
      </c>
      <c r="J32">
        <v>4</v>
      </c>
    </row>
    <row r="33" spans="1:10" x14ac:dyDescent="0.3">
      <c r="A33" s="2" t="s">
        <v>58</v>
      </c>
      <c r="B33" s="1">
        <v>46121</v>
      </c>
      <c r="C33" s="2" t="s">
        <v>14</v>
      </c>
      <c r="D33" s="2" t="s">
        <v>28</v>
      </c>
      <c r="E33" s="2" t="s">
        <v>29</v>
      </c>
      <c r="F33">
        <v>90.5</v>
      </c>
      <c r="G33">
        <v>1450.5</v>
      </c>
      <c r="H33">
        <v>125</v>
      </c>
      <c r="I33">
        <v>3</v>
      </c>
      <c r="J33">
        <v>4</v>
      </c>
    </row>
    <row r="34" spans="1:10" x14ac:dyDescent="0.3">
      <c r="A34" s="2" t="s">
        <v>59</v>
      </c>
      <c r="B34" s="1">
        <v>46121</v>
      </c>
      <c r="C34" s="2" t="s">
        <v>16</v>
      </c>
      <c r="D34" s="2" t="s">
        <v>11</v>
      </c>
      <c r="E34" s="2" t="s">
        <v>12</v>
      </c>
      <c r="F34">
        <v>94</v>
      </c>
      <c r="G34">
        <v>2100.25</v>
      </c>
      <c r="H34">
        <v>160</v>
      </c>
      <c r="I34">
        <v>4</v>
      </c>
      <c r="J34">
        <v>1</v>
      </c>
    </row>
    <row r="35" spans="1:10" x14ac:dyDescent="0.3">
      <c r="A35" s="2" t="s">
        <v>60</v>
      </c>
      <c r="B35" s="1">
        <v>46121</v>
      </c>
      <c r="C35" s="2" t="s">
        <v>20</v>
      </c>
      <c r="D35" s="2" t="s">
        <v>11</v>
      </c>
      <c r="E35" s="2" t="s">
        <v>12</v>
      </c>
      <c r="F35">
        <v>95.8</v>
      </c>
      <c r="G35">
        <v>2550</v>
      </c>
      <c r="H35">
        <v>185</v>
      </c>
      <c r="I35">
        <v>4</v>
      </c>
      <c r="J35">
        <v>1</v>
      </c>
    </row>
    <row r="36" spans="1:10" x14ac:dyDescent="0.3">
      <c r="A36" s="2" t="s">
        <v>61</v>
      </c>
      <c r="B36" s="1">
        <v>46121</v>
      </c>
      <c r="C36" s="2" t="s">
        <v>22</v>
      </c>
      <c r="D36" s="2" t="s">
        <v>23</v>
      </c>
      <c r="E36" s="2" t="s">
        <v>24</v>
      </c>
      <c r="F36">
        <v>97.7</v>
      </c>
      <c r="G36">
        <v>3410.5</v>
      </c>
      <c r="H36">
        <v>230</v>
      </c>
      <c r="I36">
        <v>5</v>
      </c>
      <c r="J36">
        <v>3</v>
      </c>
    </row>
    <row r="37" spans="1:10" x14ac:dyDescent="0.3">
      <c r="A37" s="2" t="s">
        <v>62</v>
      </c>
      <c r="B37" s="1">
        <v>46121</v>
      </c>
      <c r="C37" s="2" t="s">
        <v>26</v>
      </c>
      <c r="D37" s="2" t="s">
        <v>23</v>
      </c>
      <c r="E37" s="2" t="s">
        <v>24</v>
      </c>
      <c r="F37">
        <v>95.9</v>
      </c>
      <c r="G37">
        <v>2150</v>
      </c>
      <c r="H37">
        <v>155</v>
      </c>
      <c r="I37">
        <v>5</v>
      </c>
      <c r="J37">
        <v>3</v>
      </c>
    </row>
    <row r="38" spans="1:10" x14ac:dyDescent="0.3">
      <c r="A38" s="2" t="s">
        <v>63</v>
      </c>
      <c r="B38" s="1">
        <v>46122</v>
      </c>
      <c r="C38" s="2" t="s">
        <v>10</v>
      </c>
      <c r="D38" s="2" t="s">
        <v>11</v>
      </c>
      <c r="E38" s="2" t="s">
        <v>12</v>
      </c>
      <c r="F38">
        <v>92.8</v>
      </c>
      <c r="G38">
        <v>1750.5</v>
      </c>
      <c r="H38">
        <v>135</v>
      </c>
      <c r="I38">
        <v>4</v>
      </c>
      <c r="J38">
        <v>1</v>
      </c>
    </row>
    <row r="39" spans="1:10" x14ac:dyDescent="0.3">
      <c r="A39" s="2" t="s">
        <v>64</v>
      </c>
      <c r="B39" s="1">
        <v>46122</v>
      </c>
      <c r="C39" s="2" t="s">
        <v>14</v>
      </c>
      <c r="D39" s="2" t="s">
        <v>11</v>
      </c>
      <c r="E39" s="2" t="s">
        <v>12</v>
      </c>
      <c r="F39">
        <v>94.9</v>
      </c>
      <c r="G39">
        <v>2380</v>
      </c>
      <c r="H39">
        <v>180</v>
      </c>
      <c r="I39">
        <v>5</v>
      </c>
      <c r="J39">
        <v>1</v>
      </c>
    </row>
    <row r="40" spans="1:10" x14ac:dyDescent="0.3">
      <c r="A40" s="2" t="s">
        <v>65</v>
      </c>
      <c r="B40" s="1">
        <v>46122</v>
      </c>
      <c r="C40" s="2" t="s">
        <v>16</v>
      </c>
      <c r="D40" s="2" t="s">
        <v>17</v>
      </c>
      <c r="E40" s="2" t="s">
        <v>18</v>
      </c>
      <c r="F40">
        <v>100.1</v>
      </c>
      <c r="G40">
        <v>3650.5</v>
      </c>
      <c r="H40">
        <v>270</v>
      </c>
      <c r="I40">
        <v>7</v>
      </c>
      <c r="J40">
        <v>2</v>
      </c>
    </row>
    <row r="41" spans="1:10" x14ac:dyDescent="0.3">
      <c r="A41" s="2" t="s">
        <v>66</v>
      </c>
      <c r="B41" s="1">
        <v>46122</v>
      </c>
      <c r="C41" s="2" t="s">
        <v>20</v>
      </c>
      <c r="D41" s="2" t="s">
        <v>17</v>
      </c>
      <c r="E41" s="2" t="s">
        <v>18</v>
      </c>
      <c r="F41">
        <v>102.6</v>
      </c>
      <c r="G41">
        <v>4410.25</v>
      </c>
      <c r="H41">
        <v>320</v>
      </c>
      <c r="I41">
        <v>7</v>
      </c>
      <c r="J41">
        <v>2</v>
      </c>
    </row>
    <row r="42" spans="1:10" x14ac:dyDescent="0.3">
      <c r="A42" s="2" t="s">
        <v>67</v>
      </c>
      <c r="B42" s="1">
        <v>46122</v>
      </c>
      <c r="C42" s="2" t="s">
        <v>22</v>
      </c>
      <c r="D42" s="2" t="s">
        <v>42</v>
      </c>
      <c r="E42" s="2" t="s">
        <v>43</v>
      </c>
      <c r="F42">
        <v>97.3</v>
      </c>
      <c r="G42">
        <v>3950</v>
      </c>
      <c r="H42">
        <v>295</v>
      </c>
      <c r="I42">
        <v>6</v>
      </c>
      <c r="J42">
        <v>6</v>
      </c>
    </row>
    <row r="43" spans="1:10" x14ac:dyDescent="0.3">
      <c r="A43" s="2" t="s">
        <v>68</v>
      </c>
      <c r="B43" s="1">
        <v>46122</v>
      </c>
      <c r="C43" s="2" t="s">
        <v>26</v>
      </c>
      <c r="D43" s="2" t="s">
        <v>42</v>
      </c>
      <c r="E43" s="2" t="s">
        <v>43</v>
      </c>
      <c r="F43">
        <v>95.8</v>
      </c>
      <c r="G43">
        <v>2710.5</v>
      </c>
      <c r="H43">
        <v>200</v>
      </c>
      <c r="I43">
        <v>6</v>
      </c>
      <c r="J43">
        <v>6</v>
      </c>
    </row>
    <row r="44" spans="1:10" x14ac:dyDescent="0.3">
      <c r="A44" s="2" t="s">
        <v>69</v>
      </c>
      <c r="B44" s="1">
        <v>46123</v>
      </c>
      <c r="C44" s="2" t="s">
        <v>10</v>
      </c>
      <c r="D44" s="2" t="s">
        <v>11</v>
      </c>
      <c r="E44" s="2" t="s">
        <v>12</v>
      </c>
      <c r="F44">
        <v>93.2</v>
      </c>
      <c r="G44">
        <v>2100</v>
      </c>
      <c r="H44">
        <v>155</v>
      </c>
      <c r="I44">
        <v>5</v>
      </c>
      <c r="J44">
        <v>1</v>
      </c>
    </row>
    <row r="45" spans="1:10" x14ac:dyDescent="0.3">
      <c r="A45" s="2" t="s">
        <v>70</v>
      </c>
      <c r="B45" s="1">
        <v>46123</v>
      </c>
      <c r="C45" s="2" t="s">
        <v>14</v>
      </c>
      <c r="D45" s="2" t="s">
        <v>11</v>
      </c>
      <c r="E45" s="2" t="s">
        <v>12</v>
      </c>
      <c r="F45">
        <v>95.6</v>
      </c>
      <c r="G45">
        <v>2850.25</v>
      </c>
      <c r="H45">
        <v>200</v>
      </c>
      <c r="I45">
        <v>5</v>
      </c>
      <c r="J45">
        <v>1</v>
      </c>
    </row>
    <row r="46" spans="1:10" x14ac:dyDescent="0.3">
      <c r="A46" s="2" t="s">
        <v>71</v>
      </c>
      <c r="B46" s="1">
        <v>46123</v>
      </c>
      <c r="C46" s="2" t="s">
        <v>16</v>
      </c>
      <c r="D46" s="2" t="s">
        <v>17</v>
      </c>
      <c r="E46" s="2" t="s">
        <v>18</v>
      </c>
      <c r="F46">
        <v>100.9</v>
      </c>
      <c r="G46">
        <v>4350.5</v>
      </c>
      <c r="H46">
        <v>305</v>
      </c>
      <c r="I46">
        <v>8</v>
      </c>
      <c r="J46">
        <v>2</v>
      </c>
    </row>
    <row r="47" spans="1:10" x14ac:dyDescent="0.3">
      <c r="A47" s="2" t="s">
        <v>72</v>
      </c>
      <c r="B47" s="1">
        <v>46123</v>
      </c>
      <c r="C47" s="2" t="s">
        <v>20</v>
      </c>
      <c r="D47" s="2" t="s">
        <v>17</v>
      </c>
      <c r="E47" s="2" t="s">
        <v>18</v>
      </c>
      <c r="F47">
        <v>103.8</v>
      </c>
      <c r="G47">
        <v>5120</v>
      </c>
      <c r="H47">
        <v>365</v>
      </c>
      <c r="I47">
        <v>8</v>
      </c>
      <c r="J47">
        <v>2</v>
      </c>
    </row>
    <row r="48" spans="1:10" x14ac:dyDescent="0.3">
      <c r="A48" s="2" t="s">
        <v>73</v>
      </c>
      <c r="B48" s="1">
        <v>46123</v>
      </c>
      <c r="C48" s="2" t="s">
        <v>22</v>
      </c>
      <c r="D48" s="2" t="s">
        <v>23</v>
      </c>
      <c r="E48" s="2" t="s">
        <v>24</v>
      </c>
      <c r="F48">
        <v>98.4</v>
      </c>
      <c r="G48">
        <v>4510.75</v>
      </c>
      <c r="H48">
        <v>325</v>
      </c>
      <c r="I48">
        <v>7</v>
      </c>
      <c r="J48">
        <v>3</v>
      </c>
    </row>
    <row r="49" spans="1:10" x14ac:dyDescent="0.3">
      <c r="A49" s="2" t="s">
        <v>74</v>
      </c>
      <c r="B49" s="1">
        <v>46123</v>
      </c>
      <c r="C49" s="2" t="s">
        <v>26</v>
      </c>
      <c r="D49" s="2" t="s">
        <v>23</v>
      </c>
      <c r="E49" s="2" t="s">
        <v>24</v>
      </c>
      <c r="F49">
        <v>96.9</v>
      </c>
      <c r="G49">
        <v>3100</v>
      </c>
      <c r="H49">
        <v>220</v>
      </c>
      <c r="I49">
        <v>7</v>
      </c>
      <c r="J49">
        <v>3</v>
      </c>
    </row>
    <row r="50" spans="1:10" x14ac:dyDescent="0.3">
      <c r="A50" s="2" t="s">
        <v>75</v>
      </c>
      <c r="B50" s="1">
        <v>46127</v>
      </c>
      <c r="C50" s="2" t="s">
        <v>10</v>
      </c>
      <c r="D50" s="2" t="s">
        <v>28</v>
      </c>
      <c r="E50" s="2" t="s">
        <v>29</v>
      </c>
      <c r="F50">
        <v>88.2</v>
      </c>
      <c r="G50">
        <v>950</v>
      </c>
      <c r="H50">
        <v>80</v>
      </c>
      <c r="I50">
        <v>3</v>
      </c>
      <c r="J50">
        <v>4</v>
      </c>
    </row>
    <row r="51" spans="1:10" x14ac:dyDescent="0.3">
      <c r="A51" s="2" t="s">
        <v>76</v>
      </c>
      <c r="B51" s="1">
        <v>46127</v>
      </c>
      <c r="C51" s="2" t="s">
        <v>14</v>
      </c>
      <c r="D51" s="2" t="s">
        <v>28</v>
      </c>
      <c r="E51" s="2" t="s">
        <v>29</v>
      </c>
      <c r="F51">
        <v>90.1</v>
      </c>
      <c r="G51">
        <v>1200.5</v>
      </c>
      <c r="H51">
        <v>110</v>
      </c>
      <c r="I51">
        <v>3</v>
      </c>
      <c r="J51">
        <v>4</v>
      </c>
    </row>
    <row r="52" spans="1:10" x14ac:dyDescent="0.3">
      <c r="A52" s="2" t="s">
        <v>77</v>
      </c>
      <c r="B52" s="1">
        <v>46127</v>
      </c>
      <c r="C52" s="2" t="s">
        <v>16</v>
      </c>
      <c r="D52" s="2" t="s">
        <v>32</v>
      </c>
      <c r="E52" s="2" t="s">
        <v>33</v>
      </c>
      <c r="F52">
        <v>93</v>
      </c>
      <c r="G52">
        <v>1590</v>
      </c>
      <c r="H52">
        <v>125</v>
      </c>
      <c r="I52">
        <v>4</v>
      </c>
      <c r="J52">
        <v>5</v>
      </c>
    </row>
    <row r="53" spans="1:10" x14ac:dyDescent="0.3">
      <c r="A53" s="2" t="s">
        <v>78</v>
      </c>
      <c r="B53" s="1">
        <v>46127</v>
      </c>
      <c r="C53" s="2" t="s">
        <v>20</v>
      </c>
      <c r="D53" s="2" t="s">
        <v>32</v>
      </c>
      <c r="E53" s="2" t="s">
        <v>33</v>
      </c>
      <c r="F53">
        <v>94.2</v>
      </c>
      <c r="G53">
        <v>1850.25</v>
      </c>
      <c r="H53">
        <v>145</v>
      </c>
      <c r="I53">
        <v>4</v>
      </c>
      <c r="J53">
        <v>5</v>
      </c>
    </row>
    <row r="54" spans="1:10" x14ac:dyDescent="0.3">
      <c r="A54" s="2" t="s">
        <v>79</v>
      </c>
      <c r="B54" s="1">
        <v>46127</v>
      </c>
      <c r="C54" s="2" t="s">
        <v>22</v>
      </c>
      <c r="D54" s="2" t="s">
        <v>42</v>
      </c>
      <c r="E54" s="2" t="s">
        <v>43</v>
      </c>
      <c r="F54">
        <v>96.1</v>
      </c>
      <c r="G54">
        <v>2650.5</v>
      </c>
      <c r="H54">
        <v>190</v>
      </c>
      <c r="I54">
        <v>5</v>
      </c>
      <c r="J54">
        <v>6</v>
      </c>
    </row>
    <row r="55" spans="1:10" x14ac:dyDescent="0.3">
      <c r="A55" s="2" t="s">
        <v>80</v>
      </c>
      <c r="B55" s="1">
        <v>46127</v>
      </c>
      <c r="C55" s="2" t="s">
        <v>26</v>
      </c>
      <c r="D55" s="2" t="s">
        <v>42</v>
      </c>
      <c r="E55" s="2" t="s">
        <v>43</v>
      </c>
      <c r="F55">
        <v>94.8</v>
      </c>
      <c r="G55">
        <v>1710</v>
      </c>
      <c r="H55">
        <v>130</v>
      </c>
      <c r="I55">
        <v>5</v>
      </c>
      <c r="J55">
        <v>6</v>
      </c>
    </row>
    <row r="56" spans="1:10" x14ac:dyDescent="0.3">
      <c r="A56" s="2" t="s">
        <v>81</v>
      </c>
      <c r="B56" s="1">
        <v>46128</v>
      </c>
      <c r="C56" s="2" t="s">
        <v>10</v>
      </c>
      <c r="D56" s="2" t="s">
        <v>28</v>
      </c>
      <c r="E56" s="2" t="s">
        <v>29</v>
      </c>
      <c r="F56">
        <v>88.5</v>
      </c>
      <c r="G56">
        <v>1080.25</v>
      </c>
      <c r="H56">
        <v>90</v>
      </c>
      <c r="I56">
        <v>3</v>
      </c>
      <c r="J56">
        <v>4</v>
      </c>
    </row>
    <row r="57" spans="1:10" x14ac:dyDescent="0.3">
      <c r="A57" s="2" t="s">
        <v>82</v>
      </c>
      <c r="B57" s="1">
        <v>46128</v>
      </c>
      <c r="C57" s="2" t="s">
        <v>14</v>
      </c>
      <c r="D57" s="2" t="s">
        <v>28</v>
      </c>
      <c r="E57" s="2" t="s">
        <v>29</v>
      </c>
      <c r="F57">
        <v>90.8</v>
      </c>
      <c r="G57">
        <v>1380</v>
      </c>
      <c r="H57">
        <v>120</v>
      </c>
      <c r="I57">
        <v>3</v>
      </c>
      <c r="J57">
        <v>4</v>
      </c>
    </row>
    <row r="58" spans="1:10" x14ac:dyDescent="0.3">
      <c r="A58" s="2" t="s">
        <v>83</v>
      </c>
      <c r="B58" s="1">
        <v>46128</v>
      </c>
      <c r="C58" s="2" t="s">
        <v>16</v>
      </c>
      <c r="D58" s="2" t="s">
        <v>11</v>
      </c>
      <c r="E58" s="2" t="s">
        <v>12</v>
      </c>
      <c r="F58">
        <v>94.3</v>
      </c>
      <c r="G58">
        <v>2220.5</v>
      </c>
      <c r="H58">
        <v>165</v>
      </c>
      <c r="I58">
        <v>4</v>
      </c>
      <c r="J58">
        <v>1</v>
      </c>
    </row>
    <row r="59" spans="1:10" x14ac:dyDescent="0.3">
      <c r="A59" s="2" t="s">
        <v>84</v>
      </c>
      <c r="B59" s="1">
        <v>46128</v>
      </c>
      <c r="C59" s="2" t="s">
        <v>20</v>
      </c>
      <c r="D59" s="2" t="s">
        <v>11</v>
      </c>
      <c r="E59" s="2" t="s">
        <v>12</v>
      </c>
      <c r="F59">
        <v>96.1</v>
      </c>
      <c r="G59">
        <v>2680</v>
      </c>
      <c r="H59">
        <v>195</v>
      </c>
      <c r="I59">
        <v>4</v>
      </c>
      <c r="J59">
        <v>1</v>
      </c>
    </row>
    <row r="60" spans="1:10" x14ac:dyDescent="0.3">
      <c r="A60" s="2" t="s">
        <v>85</v>
      </c>
      <c r="B60" s="1">
        <v>46128</v>
      </c>
      <c r="C60" s="2" t="s">
        <v>22</v>
      </c>
      <c r="D60" s="2" t="s">
        <v>23</v>
      </c>
      <c r="E60" s="2" t="s">
        <v>24</v>
      </c>
      <c r="F60">
        <v>97.5</v>
      </c>
      <c r="G60">
        <v>3550.25</v>
      </c>
      <c r="H60">
        <v>240</v>
      </c>
      <c r="I60">
        <v>5</v>
      </c>
      <c r="J60">
        <v>3</v>
      </c>
    </row>
    <row r="61" spans="1:10" x14ac:dyDescent="0.3">
      <c r="A61" s="2" t="s">
        <v>86</v>
      </c>
      <c r="B61" s="1">
        <v>46128</v>
      </c>
      <c r="C61" s="2" t="s">
        <v>26</v>
      </c>
      <c r="D61" s="2" t="s">
        <v>23</v>
      </c>
      <c r="E61" s="2" t="s">
        <v>24</v>
      </c>
      <c r="F61">
        <v>95.5</v>
      </c>
      <c r="G61">
        <v>2280</v>
      </c>
      <c r="H61">
        <v>160</v>
      </c>
      <c r="I61">
        <v>5</v>
      </c>
      <c r="J61">
        <v>3</v>
      </c>
    </row>
    <row r="62" spans="1:10" x14ac:dyDescent="0.3">
      <c r="A62" s="2" t="s">
        <v>87</v>
      </c>
      <c r="B62" s="1">
        <v>46129</v>
      </c>
      <c r="C62" s="2" t="s">
        <v>10</v>
      </c>
      <c r="D62" s="2" t="s">
        <v>11</v>
      </c>
      <c r="E62" s="2" t="s">
        <v>12</v>
      </c>
      <c r="F62">
        <v>93.1</v>
      </c>
      <c r="G62">
        <v>1820</v>
      </c>
      <c r="H62">
        <v>140</v>
      </c>
      <c r="I62">
        <v>4</v>
      </c>
      <c r="J62">
        <v>1</v>
      </c>
    </row>
    <row r="63" spans="1:10" x14ac:dyDescent="0.3">
      <c r="A63" s="2" t="s">
        <v>88</v>
      </c>
      <c r="B63" s="1">
        <v>46129</v>
      </c>
      <c r="C63" s="2" t="s">
        <v>14</v>
      </c>
      <c r="D63" s="2" t="s">
        <v>11</v>
      </c>
      <c r="E63" s="2" t="s">
        <v>12</v>
      </c>
      <c r="F63">
        <v>95.2</v>
      </c>
      <c r="G63">
        <v>2450.5</v>
      </c>
      <c r="H63">
        <v>185</v>
      </c>
      <c r="I63">
        <v>5</v>
      </c>
      <c r="J63">
        <v>1</v>
      </c>
    </row>
    <row r="64" spans="1:10" x14ac:dyDescent="0.3">
      <c r="A64" s="2" t="s">
        <v>89</v>
      </c>
      <c r="B64" s="1">
        <v>46129</v>
      </c>
      <c r="C64" s="2" t="s">
        <v>16</v>
      </c>
      <c r="D64" s="2" t="s">
        <v>17</v>
      </c>
      <c r="E64" s="2" t="s">
        <v>18</v>
      </c>
      <c r="F64">
        <v>99.8</v>
      </c>
      <c r="G64">
        <v>3720</v>
      </c>
      <c r="H64">
        <v>275</v>
      </c>
      <c r="I64">
        <v>7</v>
      </c>
      <c r="J64">
        <v>2</v>
      </c>
    </row>
    <row r="65" spans="1:10" x14ac:dyDescent="0.3">
      <c r="A65" s="2" t="s">
        <v>90</v>
      </c>
      <c r="B65" s="1">
        <v>46129</v>
      </c>
      <c r="C65" s="2" t="s">
        <v>20</v>
      </c>
      <c r="D65" s="2" t="s">
        <v>17</v>
      </c>
      <c r="E65" s="2" t="s">
        <v>18</v>
      </c>
      <c r="F65">
        <v>102.3</v>
      </c>
      <c r="G65">
        <v>4550.75</v>
      </c>
      <c r="H65">
        <v>330</v>
      </c>
      <c r="I65">
        <v>7</v>
      </c>
      <c r="J65">
        <v>2</v>
      </c>
    </row>
    <row r="66" spans="1:10" x14ac:dyDescent="0.3">
      <c r="A66" s="2" t="s">
        <v>91</v>
      </c>
      <c r="B66" s="1">
        <v>46129</v>
      </c>
      <c r="C66" s="2" t="s">
        <v>22</v>
      </c>
      <c r="D66" s="2" t="s">
        <v>42</v>
      </c>
      <c r="E66" s="2" t="s">
        <v>43</v>
      </c>
      <c r="F66">
        <v>97.1</v>
      </c>
      <c r="G66">
        <v>4120</v>
      </c>
      <c r="H66">
        <v>305</v>
      </c>
      <c r="I66">
        <v>6</v>
      </c>
      <c r="J66">
        <v>6</v>
      </c>
    </row>
    <row r="67" spans="1:10" x14ac:dyDescent="0.3">
      <c r="A67" s="2" t="s">
        <v>92</v>
      </c>
      <c r="B67" s="1">
        <v>46129</v>
      </c>
      <c r="C67" s="2" t="s">
        <v>26</v>
      </c>
      <c r="D67" s="2" t="s">
        <v>42</v>
      </c>
      <c r="E67" s="2" t="s">
        <v>43</v>
      </c>
      <c r="F67">
        <v>95.5</v>
      </c>
      <c r="G67">
        <v>2850.25</v>
      </c>
      <c r="H67">
        <v>210</v>
      </c>
      <c r="I67">
        <v>6</v>
      </c>
      <c r="J67">
        <v>6</v>
      </c>
    </row>
    <row r="68" spans="1:10" x14ac:dyDescent="0.3">
      <c r="A68" s="2" t="s">
        <v>93</v>
      </c>
      <c r="B68" s="1">
        <v>46130</v>
      </c>
      <c r="C68" s="2" t="s">
        <v>10</v>
      </c>
      <c r="D68" s="2" t="s">
        <v>11</v>
      </c>
      <c r="E68" s="2" t="s">
        <v>12</v>
      </c>
      <c r="F68">
        <v>93.6</v>
      </c>
      <c r="G68">
        <v>2250.5</v>
      </c>
      <c r="H68">
        <v>165</v>
      </c>
      <c r="I68">
        <v>5</v>
      </c>
      <c r="J68">
        <v>1</v>
      </c>
    </row>
    <row r="69" spans="1:10" x14ac:dyDescent="0.3">
      <c r="A69" s="2" t="s">
        <v>94</v>
      </c>
      <c r="B69" s="1">
        <v>46130</v>
      </c>
      <c r="C69" s="2" t="s">
        <v>14</v>
      </c>
      <c r="D69" s="2" t="s">
        <v>11</v>
      </c>
      <c r="E69" s="2" t="s">
        <v>12</v>
      </c>
      <c r="F69">
        <v>95.9</v>
      </c>
      <c r="G69">
        <v>2980</v>
      </c>
      <c r="H69">
        <v>210</v>
      </c>
      <c r="I69">
        <v>5</v>
      </c>
      <c r="J69">
        <v>1</v>
      </c>
    </row>
    <row r="70" spans="1:10" x14ac:dyDescent="0.3">
      <c r="A70" s="2" t="s">
        <v>95</v>
      </c>
      <c r="B70" s="1">
        <v>46130</v>
      </c>
      <c r="C70" s="2" t="s">
        <v>16</v>
      </c>
      <c r="D70" s="2" t="s">
        <v>17</v>
      </c>
      <c r="E70" s="2" t="s">
        <v>18</v>
      </c>
      <c r="F70">
        <v>101.2</v>
      </c>
      <c r="G70">
        <v>4580.25</v>
      </c>
      <c r="H70">
        <v>320</v>
      </c>
      <c r="I70">
        <v>8</v>
      </c>
      <c r="J70">
        <v>2</v>
      </c>
    </row>
    <row r="71" spans="1:10" x14ac:dyDescent="0.3">
      <c r="A71" s="2" t="s">
        <v>96</v>
      </c>
      <c r="B71" s="1">
        <v>46130</v>
      </c>
      <c r="C71" s="2" t="s">
        <v>20</v>
      </c>
      <c r="D71" s="2" t="s">
        <v>17</v>
      </c>
      <c r="E71" s="2" t="s">
        <v>18</v>
      </c>
      <c r="F71">
        <v>104.1</v>
      </c>
      <c r="G71">
        <v>5340.5</v>
      </c>
      <c r="H71">
        <v>380</v>
      </c>
      <c r="I71">
        <v>8</v>
      </c>
      <c r="J71">
        <v>2</v>
      </c>
    </row>
    <row r="72" spans="1:10" x14ac:dyDescent="0.3">
      <c r="A72" s="2" t="s">
        <v>97</v>
      </c>
      <c r="B72" s="1">
        <v>46130</v>
      </c>
      <c r="C72" s="2" t="s">
        <v>22</v>
      </c>
      <c r="D72" s="2" t="s">
        <v>23</v>
      </c>
      <c r="E72" s="2" t="s">
        <v>24</v>
      </c>
      <c r="F72">
        <v>98.7</v>
      </c>
      <c r="G72">
        <v>4720</v>
      </c>
      <c r="H72">
        <v>340</v>
      </c>
      <c r="I72">
        <v>7</v>
      </c>
      <c r="J72">
        <v>3</v>
      </c>
    </row>
    <row r="73" spans="1:10" x14ac:dyDescent="0.3">
      <c r="A73" s="2" t="s">
        <v>98</v>
      </c>
      <c r="B73" s="1">
        <v>46130</v>
      </c>
      <c r="C73" s="2" t="s">
        <v>26</v>
      </c>
      <c r="D73" s="2" t="s">
        <v>23</v>
      </c>
      <c r="E73" s="2" t="s">
        <v>24</v>
      </c>
      <c r="F73">
        <v>97.2</v>
      </c>
      <c r="G73">
        <v>3250.5</v>
      </c>
      <c r="H73">
        <v>230</v>
      </c>
      <c r="I73">
        <v>7</v>
      </c>
      <c r="J73">
        <v>3</v>
      </c>
    </row>
    <row r="74" spans="1:10" x14ac:dyDescent="0.3">
      <c r="A74" s="2" t="s">
        <v>99</v>
      </c>
      <c r="B74" s="1">
        <v>46134</v>
      </c>
      <c r="C74" s="2" t="s">
        <v>10</v>
      </c>
      <c r="D74" s="2" t="s">
        <v>28</v>
      </c>
      <c r="E74" s="2" t="s">
        <v>29</v>
      </c>
      <c r="F74">
        <v>88</v>
      </c>
      <c r="G74">
        <v>920.5</v>
      </c>
      <c r="H74">
        <v>75</v>
      </c>
      <c r="I74">
        <v>3</v>
      </c>
      <c r="J74">
        <v>4</v>
      </c>
    </row>
    <row r="75" spans="1:10" x14ac:dyDescent="0.3">
      <c r="A75" s="2" t="s">
        <v>100</v>
      </c>
      <c r="B75" s="1">
        <v>46134</v>
      </c>
      <c r="C75" s="2" t="s">
        <v>14</v>
      </c>
      <c r="D75" s="2" t="s">
        <v>28</v>
      </c>
      <c r="E75" s="2" t="s">
        <v>29</v>
      </c>
      <c r="F75">
        <v>89.8</v>
      </c>
      <c r="G75">
        <v>1150</v>
      </c>
      <c r="H75">
        <v>105</v>
      </c>
      <c r="I75">
        <v>3</v>
      </c>
      <c r="J75">
        <v>4</v>
      </c>
    </row>
    <row r="76" spans="1:10" x14ac:dyDescent="0.3">
      <c r="A76" s="2" t="s">
        <v>101</v>
      </c>
      <c r="B76" s="1">
        <v>46134</v>
      </c>
      <c r="C76" s="2" t="s">
        <v>16</v>
      </c>
      <c r="D76" s="2" t="s">
        <v>32</v>
      </c>
      <c r="E76" s="2" t="s">
        <v>33</v>
      </c>
      <c r="F76">
        <v>92.8</v>
      </c>
      <c r="G76">
        <v>1520.75</v>
      </c>
      <c r="H76">
        <v>120</v>
      </c>
      <c r="I76">
        <v>4</v>
      </c>
      <c r="J76">
        <v>5</v>
      </c>
    </row>
    <row r="77" spans="1:10" x14ac:dyDescent="0.3">
      <c r="A77" s="2" t="s">
        <v>102</v>
      </c>
      <c r="B77" s="1">
        <v>46134</v>
      </c>
      <c r="C77" s="2" t="s">
        <v>20</v>
      </c>
      <c r="D77" s="2" t="s">
        <v>32</v>
      </c>
      <c r="E77" s="2" t="s">
        <v>33</v>
      </c>
      <c r="F77">
        <v>93.9</v>
      </c>
      <c r="G77">
        <v>1790</v>
      </c>
      <c r="H77">
        <v>140</v>
      </c>
      <c r="I77">
        <v>4</v>
      </c>
      <c r="J77">
        <v>5</v>
      </c>
    </row>
    <row r="78" spans="1:10" x14ac:dyDescent="0.3">
      <c r="A78" s="2" t="s">
        <v>103</v>
      </c>
      <c r="B78" s="1">
        <v>46134</v>
      </c>
      <c r="C78" s="2" t="s">
        <v>22</v>
      </c>
      <c r="D78" s="2" t="s">
        <v>42</v>
      </c>
      <c r="E78" s="2" t="s">
        <v>43</v>
      </c>
      <c r="F78">
        <v>95.8</v>
      </c>
      <c r="G78">
        <v>2520.5</v>
      </c>
      <c r="H78">
        <v>180</v>
      </c>
      <c r="I78">
        <v>5</v>
      </c>
      <c r="J78">
        <v>6</v>
      </c>
    </row>
    <row r="79" spans="1:10" x14ac:dyDescent="0.3">
      <c r="A79" s="2" t="s">
        <v>104</v>
      </c>
      <c r="B79" s="1">
        <v>46134</v>
      </c>
      <c r="C79" s="2" t="s">
        <v>26</v>
      </c>
      <c r="D79" s="2" t="s">
        <v>42</v>
      </c>
      <c r="E79" s="2" t="s">
        <v>43</v>
      </c>
      <c r="F79">
        <v>94.5</v>
      </c>
      <c r="G79">
        <v>1620</v>
      </c>
      <c r="H79">
        <v>125</v>
      </c>
      <c r="I79">
        <v>5</v>
      </c>
      <c r="J79">
        <v>6</v>
      </c>
    </row>
    <row r="80" spans="1:10" x14ac:dyDescent="0.3">
      <c r="A80" s="2" t="s">
        <v>105</v>
      </c>
      <c r="B80" s="1">
        <v>46135</v>
      </c>
      <c r="C80" s="2" t="s">
        <v>10</v>
      </c>
      <c r="D80" s="2" t="s">
        <v>28</v>
      </c>
      <c r="E80" s="2" t="s">
        <v>29</v>
      </c>
      <c r="F80">
        <v>88.9</v>
      </c>
      <c r="G80">
        <v>1150</v>
      </c>
      <c r="H80">
        <v>95</v>
      </c>
      <c r="I80">
        <v>3</v>
      </c>
      <c r="J80">
        <v>4</v>
      </c>
    </row>
    <row r="81" spans="1:10" x14ac:dyDescent="0.3">
      <c r="A81" s="2" t="s">
        <v>106</v>
      </c>
      <c r="B81" s="1">
        <v>46135</v>
      </c>
      <c r="C81" s="2" t="s">
        <v>14</v>
      </c>
      <c r="D81" s="2" t="s">
        <v>28</v>
      </c>
      <c r="E81" s="2" t="s">
        <v>29</v>
      </c>
      <c r="F81">
        <v>91.2</v>
      </c>
      <c r="G81">
        <v>1420.75</v>
      </c>
      <c r="H81">
        <v>125</v>
      </c>
      <c r="I81">
        <v>3</v>
      </c>
      <c r="J81">
        <v>4</v>
      </c>
    </row>
    <row r="82" spans="1:10" x14ac:dyDescent="0.3">
      <c r="A82" s="2" t="s">
        <v>107</v>
      </c>
      <c r="B82" s="1">
        <v>46135</v>
      </c>
      <c r="C82" s="2" t="s">
        <v>16</v>
      </c>
      <c r="D82" s="2" t="s">
        <v>11</v>
      </c>
      <c r="E82" s="2" t="s">
        <v>12</v>
      </c>
      <c r="F82">
        <v>94.5</v>
      </c>
      <c r="G82">
        <v>2310</v>
      </c>
      <c r="H82">
        <v>170</v>
      </c>
      <c r="I82">
        <v>4</v>
      </c>
      <c r="J82">
        <v>1</v>
      </c>
    </row>
    <row r="83" spans="1:10" x14ac:dyDescent="0.3">
      <c r="A83" s="2" t="s">
        <v>108</v>
      </c>
      <c r="B83" s="1">
        <v>46135</v>
      </c>
      <c r="C83" s="2" t="s">
        <v>20</v>
      </c>
      <c r="D83" s="2" t="s">
        <v>11</v>
      </c>
      <c r="E83" s="2" t="s">
        <v>12</v>
      </c>
      <c r="F83">
        <v>96.4</v>
      </c>
      <c r="G83">
        <v>2750.5</v>
      </c>
      <c r="H83">
        <v>200</v>
      </c>
      <c r="I83">
        <v>4</v>
      </c>
      <c r="J83">
        <v>1</v>
      </c>
    </row>
    <row r="84" spans="1:10" x14ac:dyDescent="0.3">
      <c r="A84" s="2" t="s">
        <v>109</v>
      </c>
      <c r="B84" s="1">
        <v>46135</v>
      </c>
      <c r="C84" s="2" t="s">
        <v>22</v>
      </c>
      <c r="D84" s="2" t="s">
        <v>23</v>
      </c>
      <c r="E84" s="2" t="s">
        <v>24</v>
      </c>
      <c r="F84">
        <v>97.9</v>
      </c>
      <c r="G84">
        <v>3680</v>
      </c>
      <c r="H84">
        <v>250</v>
      </c>
      <c r="I84">
        <v>5</v>
      </c>
      <c r="J84">
        <v>3</v>
      </c>
    </row>
    <row r="85" spans="1:10" x14ac:dyDescent="0.3">
      <c r="A85" s="2" t="s">
        <v>110</v>
      </c>
      <c r="B85" s="1">
        <v>46135</v>
      </c>
      <c r="C85" s="2" t="s">
        <v>26</v>
      </c>
      <c r="D85" s="2" t="s">
        <v>23</v>
      </c>
      <c r="E85" s="2" t="s">
        <v>24</v>
      </c>
      <c r="F85">
        <v>95.8</v>
      </c>
      <c r="G85">
        <v>2350.25</v>
      </c>
      <c r="H85">
        <v>165</v>
      </c>
      <c r="I85">
        <v>5</v>
      </c>
      <c r="J85">
        <v>3</v>
      </c>
    </row>
    <row r="86" spans="1:10" x14ac:dyDescent="0.3">
      <c r="A86" s="2" t="s">
        <v>111</v>
      </c>
      <c r="B86" s="1">
        <v>46136</v>
      </c>
      <c r="C86" s="2" t="s">
        <v>10</v>
      </c>
      <c r="D86" s="2" t="s">
        <v>11</v>
      </c>
      <c r="E86" s="2" t="s">
        <v>12</v>
      </c>
      <c r="F86">
        <v>92.9</v>
      </c>
      <c r="G86">
        <v>1890.5</v>
      </c>
      <c r="H86">
        <v>145</v>
      </c>
      <c r="I86">
        <v>4</v>
      </c>
      <c r="J86">
        <v>1</v>
      </c>
    </row>
    <row r="87" spans="1:10" x14ac:dyDescent="0.3">
      <c r="A87" s="2" t="s">
        <v>112</v>
      </c>
      <c r="B87" s="1">
        <v>46136</v>
      </c>
      <c r="C87" s="2" t="s">
        <v>14</v>
      </c>
      <c r="D87" s="2" t="s">
        <v>11</v>
      </c>
      <c r="E87" s="2" t="s">
        <v>12</v>
      </c>
      <c r="F87">
        <v>95</v>
      </c>
      <c r="G87">
        <v>2520</v>
      </c>
      <c r="H87">
        <v>190</v>
      </c>
      <c r="I87">
        <v>5</v>
      </c>
      <c r="J87">
        <v>1</v>
      </c>
    </row>
    <row r="88" spans="1:10" x14ac:dyDescent="0.3">
      <c r="A88" s="2" t="s">
        <v>113</v>
      </c>
      <c r="B88" s="1">
        <v>46136</v>
      </c>
      <c r="C88" s="2" t="s">
        <v>16</v>
      </c>
      <c r="D88" s="2" t="s">
        <v>17</v>
      </c>
      <c r="E88" s="2" t="s">
        <v>18</v>
      </c>
      <c r="F88">
        <v>99.9</v>
      </c>
      <c r="G88">
        <v>3810.25</v>
      </c>
      <c r="H88">
        <v>280</v>
      </c>
      <c r="I88">
        <v>7</v>
      </c>
      <c r="J88">
        <v>2</v>
      </c>
    </row>
    <row r="89" spans="1:10" x14ac:dyDescent="0.3">
      <c r="A89" s="2" t="s">
        <v>114</v>
      </c>
      <c r="B89" s="1">
        <v>46136</v>
      </c>
      <c r="C89" s="2" t="s">
        <v>20</v>
      </c>
      <c r="D89" s="2" t="s">
        <v>17</v>
      </c>
      <c r="E89" s="2" t="s">
        <v>18</v>
      </c>
      <c r="F89">
        <v>102.5</v>
      </c>
      <c r="G89">
        <v>4680.5</v>
      </c>
      <c r="H89">
        <v>340</v>
      </c>
      <c r="I89">
        <v>7</v>
      </c>
      <c r="J89">
        <v>2</v>
      </c>
    </row>
    <row r="90" spans="1:10" x14ac:dyDescent="0.3">
      <c r="A90" s="2" t="s">
        <v>115</v>
      </c>
      <c r="B90" s="1">
        <v>46136</v>
      </c>
      <c r="C90" s="2" t="s">
        <v>22</v>
      </c>
      <c r="D90" s="2" t="s">
        <v>42</v>
      </c>
      <c r="E90" s="2" t="s">
        <v>43</v>
      </c>
      <c r="F90">
        <v>97.4</v>
      </c>
      <c r="G90">
        <v>4250</v>
      </c>
      <c r="H90">
        <v>315</v>
      </c>
      <c r="I90">
        <v>6</v>
      </c>
      <c r="J90">
        <v>6</v>
      </c>
    </row>
    <row r="91" spans="1:10" x14ac:dyDescent="0.3">
      <c r="A91" s="2" t="s">
        <v>116</v>
      </c>
      <c r="B91" s="1">
        <v>46136</v>
      </c>
      <c r="C91" s="2" t="s">
        <v>26</v>
      </c>
      <c r="D91" s="2" t="s">
        <v>42</v>
      </c>
      <c r="E91" s="2" t="s">
        <v>43</v>
      </c>
      <c r="F91">
        <v>95.7</v>
      </c>
      <c r="G91">
        <v>2920.75</v>
      </c>
      <c r="H91">
        <v>215</v>
      </c>
      <c r="I91">
        <v>6</v>
      </c>
      <c r="J91">
        <v>6</v>
      </c>
    </row>
    <row r="92" spans="1:10" x14ac:dyDescent="0.3">
      <c r="A92" s="2" t="s">
        <v>117</v>
      </c>
      <c r="B92" s="1">
        <v>46137</v>
      </c>
      <c r="C92" s="2" t="s">
        <v>10</v>
      </c>
      <c r="D92" s="2" t="s">
        <v>11</v>
      </c>
      <c r="E92" s="2" t="s">
        <v>12</v>
      </c>
      <c r="F92">
        <v>93.4</v>
      </c>
      <c r="G92">
        <v>2380</v>
      </c>
      <c r="H92">
        <v>170</v>
      </c>
      <c r="I92">
        <v>5</v>
      </c>
      <c r="J92">
        <v>1</v>
      </c>
    </row>
    <row r="93" spans="1:10" x14ac:dyDescent="0.3">
      <c r="A93" s="2" t="s">
        <v>118</v>
      </c>
      <c r="B93" s="1">
        <v>46137</v>
      </c>
      <c r="C93" s="2" t="s">
        <v>14</v>
      </c>
      <c r="D93" s="2" t="s">
        <v>11</v>
      </c>
      <c r="E93" s="2" t="s">
        <v>12</v>
      </c>
      <c r="F93">
        <v>95.7</v>
      </c>
      <c r="G93">
        <v>3120.5</v>
      </c>
      <c r="H93">
        <v>220</v>
      </c>
      <c r="I93">
        <v>5</v>
      </c>
      <c r="J93">
        <v>1</v>
      </c>
    </row>
    <row r="94" spans="1:10" x14ac:dyDescent="0.3">
      <c r="A94" s="2" t="s">
        <v>119</v>
      </c>
      <c r="B94" s="1">
        <v>46137</v>
      </c>
      <c r="C94" s="2" t="s">
        <v>16</v>
      </c>
      <c r="D94" s="2" t="s">
        <v>17</v>
      </c>
      <c r="E94" s="2" t="s">
        <v>18</v>
      </c>
      <c r="F94">
        <v>101.5</v>
      </c>
      <c r="G94">
        <v>4750</v>
      </c>
      <c r="H94">
        <v>335</v>
      </c>
      <c r="I94">
        <v>8</v>
      </c>
      <c r="J94">
        <v>2</v>
      </c>
    </row>
    <row r="95" spans="1:10" x14ac:dyDescent="0.3">
      <c r="A95" s="2" t="s">
        <v>120</v>
      </c>
      <c r="B95" s="1">
        <v>46137</v>
      </c>
      <c r="C95" s="2" t="s">
        <v>20</v>
      </c>
      <c r="D95" s="2" t="s">
        <v>17</v>
      </c>
      <c r="E95" s="2" t="s">
        <v>18</v>
      </c>
      <c r="F95">
        <v>104.5</v>
      </c>
      <c r="G95">
        <v>5500.25</v>
      </c>
      <c r="H95">
        <v>395</v>
      </c>
      <c r="I95">
        <v>8</v>
      </c>
      <c r="J95">
        <v>2</v>
      </c>
    </row>
    <row r="96" spans="1:10" x14ac:dyDescent="0.3">
      <c r="A96" s="2" t="s">
        <v>121</v>
      </c>
      <c r="B96" s="1">
        <v>46137</v>
      </c>
      <c r="C96" s="2" t="s">
        <v>22</v>
      </c>
      <c r="D96" s="2" t="s">
        <v>23</v>
      </c>
      <c r="E96" s="2" t="s">
        <v>24</v>
      </c>
      <c r="F96">
        <v>98.9</v>
      </c>
      <c r="G96">
        <v>4910.5</v>
      </c>
      <c r="H96">
        <v>355</v>
      </c>
      <c r="I96">
        <v>7</v>
      </c>
      <c r="J96">
        <v>3</v>
      </c>
    </row>
    <row r="97" spans="1:10" x14ac:dyDescent="0.3">
      <c r="A97" s="2" t="s">
        <v>122</v>
      </c>
      <c r="B97" s="1">
        <v>46137</v>
      </c>
      <c r="C97" s="2" t="s">
        <v>26</v>
      </c>
      <c r="D97" s="2" t="s">
        <v>23</v>
      </c>
      <c r="E97" s="2" t="s">
        <v>24</v>
      </c>
      <c r="F97">
        <v>97.5</v>
      </c>
      <c r="G97">
        <v>3380</v>
      </c>
      <c r="H97">
        <v>240</v>
      </c>
      <c r="I97">
        <v>7</v>
      </c>
      <c r="J97">
        <v>3</v>
      </c>
    </row>
    <row r="98" spans="1:10" x14ac:dyDescent="0.3">
      <c r="A98" s="2" t="s">
        <v>123</v>
      </c>
      <c r="B98" s="1">
        <v>46141</v>
      </c>
      <c r="C98" s="2" t="s">
        <v>10</v>
      </c>
      <c r="D98" s="2" t="s">
        <v>28</v>
      </c>
      <c r="E98" s="2" t="s">
        <v>29</v>
      </c>
      <c r="F98">
        <v>87.8</v>
      </c>
      <c r="G98">
        <v>900</v>
      </c>
      <c r="H98">
        <v>70</v>
      </c>
      <c r="I98">
        <v>3</v>
      </c>
      <c r="J98">
        <v>4</v>
      </c>
    </row>
    <row r="99" spans="1:10" x14ac:dyDescent="0.3">
      <c r="A99" s="2" t="s">
        <v>124</v>
      </c>
      <c r="B99" s="1">
        <v>46141</v>
      </c>
      <c r="C99" s="2" t="s">
        <v>14</v>
      </c>
      <c r="D99" s="2" t="s">
        <v>28</v>
      </c>
      <c r="E99" s="2" t="s">
        <v>29</v>
      </c>
      <c r="F99">
        <v>89.5</v>
      </c>
      <c r="G99">
        <v>1110.5</v>
      </c>
      <c r="H99">
        <v>100</v>
      </c>
      <c r="I99">
        <v>3</v>
      </c>
      <c r="J99">
        <v>4</v>
      </c>
    </row>
    <row r="100" spans="1:10" x14ac:dyDescent="0.3">
      <c r="A100" s="2" t="s">
        <v>125</v>
      </c>
      <c r="B100" s="1">
        <v>46141</v>
      </c>
      <c r="C100" s="2" t="s">
        <v>16</v>
      </c>
      <c r="D100" s="2" t="s">
        <v>32</v>
      </c>
      <c r="E100" s="2" t="s">
        <v>33</v>
      </c>
      <c r="F100">
        <v>92.5</v>
      </c>
      <c r="G100">
        <v>1480</v>
      </c>
      <c r="H100">
        <v>115</v>
      </c>
      <c r="I100">
        <v>4</v>
      </c>
      <c r="J100">
        <v>5</v>
      </c>
    </row>
    <row r="101" spans="1:10" x14ac:dyDescent="0.3">
      <c r="A101" s="2" t="s">
        <v>126</v>
      </c>
      <c r="B101" s="1">
        <v>46141</v>
      </c>
      <c r="C101" s="2" t="s">
        <v>20</v>
      </c>
      <c r="D101" s="2" t="s">
        <v>32</v>
      </c>
      <c r="E101" s="2" t="s">
        <v>33</v>
      </c>
      <c r="F101">
        <v>93.6</v>
      </c>
      <c r="G101">
        <v>1720.25</v>
      </c>
      <c r="H101">
        <v>135</v>
      </c>
      <c r="I101">
        <v>4</v>
      </c>
      <c r="J101">
        <v>5</v>
      </c>
    </row>
    <row r="102" spans="1:10" x14ac:dyDescent="0.3">
      <c r="A102" s="2" t="s">
        <v>127</v>
      </c>
      <c r="B102" s="1">
        <v>46141</v>
      </c>
      <c r="C102" s="2" t="s">
        <v>22</v>
      </c>
      <c r="D102" s="2" t="s">
        <v>42</v>
      </c>
      <c r="E102" s="2" t="s">
        <v>43</v>
      </c>
      <c r="F102">
        <v>95.5</v>
      </c>
      <c r="G102">
        <v>2460.5</v>
      </c>
      <c r="H102">
        <v>175</v>
      </c>
      <c r="I102">
        <v>5</v>
      </c>
      <c r="J102">
        <v>6</v>
      </c>
    </row>
    <row r="103" spans="1:10" x14ac:dyDescent="0.3">
      <c r="A103" s="2" t="s">
        <v>128</v>
      </c>
      <c r="B103" s="1">
        <v>46141</v>
      </c>
      <c r="C103" s="2" t="s">
        <v>26</v>
      </c>
      <c r="D103" s="2" t="s">
        <v>42</v>
      </c>
      <c r="E103" s="2" t="s">
        <v>43</v>
      </c>
      <c r="F103">
        <v>94.2</v>
      </c>
      <c r="G103">
        <v>1580</v>
      </c>
      <c r="H103">
        <v>120</v>
      </c>
      <c r="I103">
        <v>5</v>
      </c>
      <c r="J103">
        <v>6</v>
      </c>
    </row>
    <row r="104" spans="1:10" x14ac:dyDescent="0.3">
      <c r="A104" s="2" t="s">
        <v>129</v>
      </c>
      <c r="B104" s="1">
        <v>46142</v>
      </c>
      <c r="C104" s="2" t="s">
        <v>10</v>
      </c>
      <c r="D104" s="2" t="s">
        <v>28</v>
      </c>
      <c r="E104" s="2" t="s">
        <v>29</v>
      </c>
      <c r="F104">
        <v>89.2</v>
      </c>
      <c r="G104">
        <v>1180.5</v>
      </c>
      <c r="H104">
        <v>100</v>
      </c>
      <c r="I104">
        <v>3</v>
      </c>
      <c r="J104">
        <v>4</v>
      </c>
    </row>
    <row r="105" spans="1:10" x14ac:dyDescent="0.3">
      <c r="A105" s="2" t="s">
        <v>130</v>
      </c>
      <c r="B105" s="1">
        <v>46142</v>
      </c>
      <c r="C105" s="2" t="s">
        <v>14</v>
      </c>
      <c r="D105" s="2" t="s">
        <v>28</v>
      </c>
      <c r="E105" s="2" t="s">
        <v>29</v>
      </c>
      <c r="F105">
        <v>91.5</v>
      </c>
      <c r="G105">
        <v>1480</v>
      </c>
      <c r="H105">
        <v>130</v>
      </c>
      <c r="I105">
        <v>3</v>
      </c>
      <c r="J105">
        <v>4</v>
      </c>
    </row>
    <row r="106" spans="1:10" x14ac:dyDescent="0.3">
      <c r="A106" s="2" t="s">
        <v>131</v>
      </c>
      <c r="B106" s="1">
        <v>46142</v>
      </c>
      <c r="C106" s="2" t="s">
        <v>16</v>
      </c>
      <c r="D106" s="2" t="s">
        <v>11</v>
      </c>
      <c r="E106" s="2" t="s">
        <v>12</v>
      </c>
      <c r="F106">
        <v>94.7</v>
      </c>
      <c r="G106">
        <v>2420.25</v>
      </c>
      <c r="H106">
        <v>175</v>
      </c>
      <c r="I106">
        <v>4</v>
      </c>
      <c r="J106">
        <v>1</v>
      </c>
    </row>
    <row r="107" spans="1:10" x14ac:dyDescent="0.3">
      <c r="A107" s="2" t="s">
        <v>132</v>
      </c>
      <c r="B107" s="1">
        <v>46142</v>
      </c>
      <c r="C107" s="2" t="s">
        <v>20</v>
      </c>
      <c r="D107" s="2" t="s">
        <v>11</v>
      </c>
      <c r="E107" s="2" t="s">
        <v>12</v>
      </c>
      <c r="F107">
        <v>96.6</v>
      </c>
      <c r="G107">
        <v>2890.5</v>
      </c>
      <c r="H107">
        <v>210</v>
      </c>
      <c r="I107">
        <v>4</v>
      </c>
      <c r="J107">
        <v>1</v>
      </c>
    </row>
    <row r="108" spans="1:10" x14ac:dyDescent="0.3">
      <c r="A108" s="2" t="s">
        <v>133</v>
      </c>
      <c r="B108" s="1">
        <v>46142</v>
      </c>
      <c r="C108" s="2" t="s">
        <v>22</v>
      </c>
      <c r="D108" s="2" t="s">
        <v>23</v>
      </c>
      <c r="E108" s="2" t="s">
        <v>24</v>
      </c>
      <c r="F108">
        <v>98.2</v>
      </c>
      <c r="G108">
        <v>3820</v>
      </c>
      <c r="H108">
        <v>260</v>
      </c>
      <c r="I108">
        <v>5</v>
      </c>
      <c r="J108">
        <v>3</v>
      </c>
    </row>
    <row r="109" spans="1:10" x14ac:dyDescent="0.3">
      <c r="A109" s="2" t="s">
        <v>134</v>
      </c>
      <c r="B109" s="1">
        <v>46142</v>
      </c>
      <c r="C109" s="2" t="s">
        <v>26</v>
      </c>
      <c r="D109" s="2" t="s">
        <v>23</v>
      </c>
      <c r="E109" s="2" t="s">
        <v>24</v>
      </c>
      <c r="F109">
        <v>96.1</v>
      </c>
      <c r="G109">
        <v>2450.75</v>
      </c>
      <c r="H109">
        <v>175</v>
      </c>
      <c r="I109">
        <v>5</v>
      </c>
      <c r="J109">
        <v>3</v>
      </c>
    </row>
    <row r="110" spans="1:10" x14ac:dyDescent="0.3">
      <c r="A110" s="2" t="s">
        <v>135</v>
      </c>
      <c r="B110" s="1">
        <v>46143</v>
      </c>
      <c r="C110" s="2" t="s">
        <v>10</v>
      </c>
      <c r="D110" s="2" t="s">
        <v>11</v>
      </c>
      <c r="E110" s="2" t="s">
        <v>12</v>
      </c>
      <c r="F110">
        <v>93.1</v>
      </c>
      <c r="G110">
        <v>1940</v>
      </c>
      <c r="H110">
        <v>150</v>
      </c>
      <c r="I110">
        <v>4</v>
      </c>
      <c r="J110">
        <v>1</v>
      </c>
    </row>
    <row r="111" spans="1:10" x14ac:dyDescent="0.3">
      <c r="A111" s="2" t="s">
        <v>136</v>
      </c>
      <c r="B111" s="1">
        <v>46143</v>
      </c>
      <c r="C111" s="2" t="s">
        <v>14</v>
      </c>
      <c r="D111" s="2" t="s">
        <v>11</v>
      </c>
      <c r="E111" s="2" t="s">
        <v>12</v>
      </c>
      <c r="F111">
        <v>95.2</v>
      </c>
      <c r="G111">
        <v>2610.5</v>
      </c>
      <c r="H111">
        <v>195</v>
      </c>
      <c r="I111">
        <v>5</v>
      </c>
      <c r="J111">
        <v>1</v>
      </c>
    </row>
    <row r="112" spans="1:10" x14ac:dyDescent="0.3">
      <c r="A112" s="2" t="s">
        <v>137</v>
      </c>
      <c r="B112" s="1">
        <v>46143</v>
      </c>
      <c r="C112" s="2" t="s">
        <v>16</v>
      </c>
      <c r="D112" s="2" t="s">
        <v>17</v>
      </c>
      <c r="E112" s="2" t="s">
        <v>18</v>
      </c>
      <c r="F112">
        <v>100.2</v>
      </c>
      <c r="G112">
        <v>3950</v>
      </c>
      <c r="H112">
        <v>290</v>
      </c>
      <c r="I112">
        <v>7</v>
      </c>
      <c r="J112">
        <v>2</v>
      </c>
    </row>
    <row r="113" spans="1:10" x14ac:dyDescent="0.3">
      <c r="A113" s="2" t="s">
        <v>138</v>
      </c>
      <c r="B113" s="1">
        <v>46143</v>
      </c>
      <c r="C113" s="2" t="s">
        <v>20</v>
      </c>
      <c r="D113" s="2" t="s">
        <v>17</v>
      </c>
      <c r="E113" s="2" t="s">
        <v>18</v>
      </c>
      <c r="F113">
        <v>102.8</v>
      </c>
      <c r="G113">
        <v>4780.25</v>
      </c>
      <c r="H113">
        <v>350</v>
      </c>
      <c r="I113">
        <v>7</v>
      </c>
      <c r="J113">
        <v>2</v>
      </c>
    </row>
    <row r="114" spans="1:10" x14ac:dyDescent="0.3">
      <c r="A114" s="2" t="s">
        <v>139</v>
      </c>
      <c r="B114" s="1">
        <v>46143</v>
      </c>
      <c r="C114" s="2" t="s">
        <v>22</v>
      </c>
      <c r="D114" s="2" t="s">
        <v>42</v>
      </c>
      <c r="E114" s="2" t="s">
        <v>43</v>
      </c>
      <c r="F114">
        <v>97.6</v>
      </c>
      <c r="G114">
        <v>4380.5</v>
      </c>
      <c r="H114">
        <v>325</v>
      </c>
      <c r="I114">
        <v>6</v>
      </c>
      <c r="J114">
        <v>6</v>
      </c>
    </row>
    <row r="115" spans="1:10" x14ac:dyDescent="0.3">
      <c r="A115" s="2" t="s">
        <v>140</v>
      </c>
      <c r="B115" s="1">
        <v>46143</v>
      </c>
      <c r="C115" s="2" t="s">
        <v>26</v>
      </c>
      <c r="D115" s="2" t="s">
        <v>42</v>
      </c>
      <c r="E115" s="2" t="s">
        <v>43</v>
      </c>
      <c r="F115">
        <v>96</v>
      </c>
      <c r="G115">
        <v>3050</v>
      </c>
      <c r="H115">
        <v>225</v>
      </c>
      <c r="I115">
        <v>6</v>
      </c>
      <c r="J115">
        <v>6</v>
      </c>
    </row>
    <row r="116" spans="1:10" x14ac:dyDescent="0.3">
      <c r="A116" s="2" t="s">
        <v>141</v>
      </c>
      <c r="B116" s="1">
        <v>46144</v>
      </c>
      <c r="C116" s="2" t="s">
        <v>10</v>
      </c>
      <c r="D116" s="2" t="s">
        <v>11</v>
      </c>
      <c r="E116" s="2" t="s">
        <v>12</v>
      </c>
      <c r="F116">
        <v>93.7</v>
      </c>
      <c r="G116">
        <v>2450.5</v>
      </c>
      <c r="H116">
        <v>175</v>
      </c>
      <c r="I116">
        <v>5</v>
      </c>
      <c r="J116">
        <v>1</v>
      </c>
    </row>
    <row r="117" spans="1:10" x14ac:dyDescent="0.3">
      <c r="A117" s="2" t="s">
        <v>142</v>
      </c>
      <c r="B117" s="1">
        <v>46144</v>
      </c>
      <c r="C117" s="2" t="s">
        <v>14</v>
      </c>
      <c r="D117" s="2" t="s">
        <v>11</v>
      </c>
      <c r="E117" s="2" t="s">
        <v>12</v>
      </c>
      <c r="F117">
        <v>96</v>
      </c>
      <c r="G117">
        <v>3240</v>
      </c>
      <c r="H117">
        <v>230</v>
      </c>
      <c r="I117">
        <v>5</v>
      </c>
      <c r="J117">
        <v>1</v>
      </c>
    </row>
    <row r="118" spans="1:10" x14ac:dyDescent="0.3">
      <c r="A118" s="2" t="s">
        <v>143</v>
      </c>
      <c r="B118" s="1">
        <v>46144</v>
      </c>
      <c r="C118" s="2" t="s">
        <v>16</v>
      </c>
      <c r="D118" s="2" t="s">
        <v>17</v>
      </c>
      <c r="E118" s="2" t="s">
        <v>18</v>
      </c>
      <c r="F118">
        <v>101.8</v>
      </c>
      <c r="G118">
        <v>4920.75</v>
      </c>
      <c r="H118">
        <v>345</v>
      </c>
      <c r="I118">
        <v>8</v>
      </c>
      <c r="J118">
        <v>2</v>
      </c>
    </row>
    <row r="119" spans="1:10" x14ac:dyDescent="0.3">
      <c r="A119" s="2" t="s">
        <v>144</v>
      </c>
      <c r="B119" s="1">
        <v>46144</v>
      </c>
      <c r="C119" s="2" t="s">
        <v>20</v>
      </c>
      <c r="D119" s="2" t="s">
        <v>17</v>
      </c>
      <c r="E119" s="2" t="s">
        <v>18</v>
      </c>
      <c r="F119">
        <v>104.8</v>
      </c>
      <c r="G119">
        <v>5680</v>
      </c>
      <c r="H119">
        <v>410</v>
      </c>
      <c r="I119">
        <v>8</v>
      </c>
      <c r="J119">
        <v>2</v>
      </c>
    </row>
    <row r="120" spans="1:10" x14ac:dyDescent="0.3">
      <c r="A120" s="2" t="s">
        <v>145</v>
      </c>
      <c r="B120" s="1">
        <v>46144</v>
      </c>
      <c r="C120" s="2" t="s">
        <v>22</v>
      </c>
      <c r="D120" s="2" t="s">
        <v>23</v>
      </c>
      <c r="E120" s="2" t="s">
        <v>24</v>
      </c>
      <c r="F120">
        <v>99.1</v>
      </c>
      <c r="G120">
        <v>5100.25</v>
      </c>
      <c r="H120">
        <v>370</v>
      </c>
      <c r="I120">
        <v>7</v>
      </c>
      <c r="J120">
        <v>3</v>
      </c>
    </row>
    <row r="121" spans="1:10" x14ac:dyDescent="0.3">
      <c r="A121" s="2" t="s">
        <v>146</v>
      </c>
      <c r="B121" s="1">
        <v>46144</v>
      </c>
      <c r="C121" s="2" t="s">
        <v>26</v>
      </c>
      <c r="D121" s="2" t="s">
        <v>23</v>
      </c>
      <c r="E121" s="2" t="s">
        <v>24</v>
      </c>
      <c r="F121">
        <v>97.7</v>
      </c>
      <c r="G121">
        <v>3520.5</v>
      </c>
      <c r="H121">
        <v>250</v>
      </c>
      <c r="I121">
        <v>7</v>
      </c>
      <c r="J121">
        <v>3</v>
      </c>
    </row>
    <row r="122" spans="1:10" x14ac:dyDescent="0.3">
      <c r="A122" s="2" t="s">
        <v>147</v>
      </c>
      <c r="B122" s="1">
        <v>46148</v>
      </c>
      <c r="C122" s="2" t="s">
        <v>10</v>
      </c>
      <c r="D122" s="2" t="s">
        <v>28</v>
      </c>
      <c r="E122" s="2" t="s">
        <v>29</v>
      </c>
      <c r="F122">
        <v>87.6</v>
      </c>
      <c r="G122">
        <v>880</v>
      </c>
      <c r="H122">
        <v>65</v>
      </c>
      <c r="I122">
        <v>3</v>
      </c>
      <c r="J122">
        <v>4</v>
      </c>
    </row>
    <row r="123" spans="1:10" x14ac:dyDescent="0.3">
      <c r="A123" s="2" t="s">
        <v>148</v>
      </c>
      <c r="B123" s="1">
        <v>46148</v>
      </c>
      <c r="C123" s="2" t="s">
        <v>14</v>
      </c>
      <c r="D123" s="2" t="s">
        <v>28</v>
      </c>
      <c r="E123" s="2" t="s">
        <v>29</v>
      </c>
      <c r="F123">
        <v>89.3</v>
      </c>
      <c r="G123">
        <v>1080.25</v>
      </c>
      <c r="H123">
        <v>95</v>
      </c>
      <c r="I123">
        <v>3</v>
      </c>
      <c r="J123">
        <v>4</v>
      </c>
    </row>
    <row r="124" spans="1:10" x14ac:dyDescent="0.3">
      <c r="A124" s="2" t="s">
        <v>149</v>
      </c>
      <c r="B124" s="1">
        <v>46148</v>
      </c>
      <c r="C124" s="2" t="s">
        <v>16</v>
      </c>
      <c r="D124" s="2" t="s">
        <v>32</v>
      </c>
      <c r="E124" s="2" t="s">
        <v>33</v>
      </c>
      <c r="F124">
        <v>92.3</v>
      </c>
      <c r="G124">
        <v>1420.5</v>
      </c>
      <c r="H124">
        <v>110</v>
      </c>
      <c r="I124">
        <v>4</v>
      </c>
      <c r="J124">
        <v>5</v>
      </c>
    </row>
    <row r="125" spans="1:10" x14ac:dyDescent="0.3">
      <c r="A125" s="2" t="s">
        <v>150</v>
      </c>
      <c r="B125" s="1">
        <v>46148</v>
      </c>
      <c r="C125" s="2" t="s">
        <v>20</v>
      </c>
      <c r="D125" s="2" t="s">
        <v>32</v>
      </c>
      <c r="E125" s="2" t="s">
        <v>33</v>
      </c>
      <c r="F125">
        <v>93.3</v>
      </c>
      <c r="G125">
        <v>1650</v>
      </c>
      <c r="H125">
        <v>130</v>
      </c>
      <c r="I125">
        <v>4</v>
      </c>
      <c r="J125">
        <v>5</v>
      </c>
    </row>
    <row r="126" spans="1:10" x14ac:dyDescent="0.3">
      <c r="A126" s="2" t="s">
        <v>151</v>
      </c>
      <c r="B126" s="1">
        <v>46148</v>
      </c>
      <c r="C126" s="2" t="s">
        <v>22</v>
      </c>
      <c r="D126" s="2" t="s">
        <v>42</v>
      </c>
      <c r="E126" s="2" t="s">
        <v>43</v>
      </c>
      <c r="F126">
        <v>95.2</v>
      </c>
      <c r="G126">
        <v>2380.75</v>
      </c>
      <c r="H126">
        <v>170</v>
      </c>
      <c r="I126">
        <v>5</v>
      </c>
      <c r="J126">
        <v>6</v>
      </c>
    </row>
    <row r="127" spans="1:10" x14ac:dyDescent="0.3">
      <c r="A127" s="2" t="s">
        <v>152</v>
      </c>
      <c r="B127" s="1">
        <v>46148</v>
      </c>
      <c r="C127" s="2" t="s">
        <v>26</v>
      </c>
      <c r="D127" s="2" t="s">
        <v>42</v>
      </c>
      <c r="E127" s="2" t="s">
        <v>43</v>
      </c>
      <c r="F127">
        <v>93.9</v>
      </c>
      <c r="G127">
        <v>1520</v>
      </c>
      <c r="H127">
        <v>115</v>
      </c>
      <c r="I127">
        <v>5</v>
      </c>
      <c r="J127">
        <v>6</v>
      </c>
    </row>
    <row r="128" spans="1:10" x14ac:dyDescent="0.3">
      <c r="A128" s="2" t="s">
        <v>153</v>
      </c>
      <c r="B128" s="1">
        <v>46149</v>
      </c>
      <c r="C128" s="2" t="s">
        <v>10</v>
      </c>
      <c r="D128" s="2" t="s">
        <v>28</v>
      </c>
      <c r="E128" s="2" t="s">
        <v>29</v>
      </c>
      <c r="F128">
        <v>89.4</v>
      </c>
      <c r="G128">
        <v>1210</v>
      </c>
      <c r="H128">
        <v>105</v>
      </c>
      <c r="I128">
        <v>3</v>
      </c>
      <c r="J128">
        <v>4</v>
      </c>
    </row>
    <row r="129" spans="1:10" x14ac:dyDescent="0.3">
      <c r="A129" s="2" t="s">
        <v>154</v>
      </c>
      <c r="B129" s="1">
        <v>46149</v>
      </c>
      <c r="C129" s="2" t="s">
        <v>14</v>
      </c>
      <c r="D129" s="2" t="s">
        <v>28</v>
      </c>
      <c r="E129" s="2" t="s">
        <v>29</v>
      </c>
      <c r="F129">
        <v>91.7</v>
      </c>
      <c r="G129">
        <v>1520.5</v>
      </c>
      <c r="H129">
        <v>135</v>
      </c>
      <c r="I129">
        <v>3</v>
      </c>
      <c r="J129">
        <v>4</v>
      </c>
    </row>
    <row r="130" spans="1:10" x14ac:dyDescent="0.3">
      <c r="A130" s="2" t="s">
        <v>155</v>
      </c>
      <c r="B130" s="1">
        <v>46149</v>
      </c>
      <c r="C130" s="2" t="s">
        <v>16</v>
      </c>
      <c r="D130" s="2" t="s">
        <v>11</v>
      </c>
      <c r="E130" s="2" t="s">
        <v>12</v>
      </c>
      <c r="F130">
        <v>94.9</v>
      </c>
      <c r="G130">
        <v>2500</v>
      </c>
      <c r="H130">
        <v>180</v>
      </c>
      <c r="I130">
        <v>4</v>
      </c>
      <c r="J130">
        <v>1</v>
      </c>
    </row>
    <row r="131" spans="1:10" x14ac:dyDescent="0.3">
      <c r="A131" s="2" t="s">
        <v>156</v>
      </c>
      <c r="B131" s="1">
        <v>46149</v>
      </c>
      <c r="C131" s="2" t="s">
        <v>20</v>
      </c>
      <c r="D131" s="2" t="s">
        <v>11</v>
      </c>
      <c r="E131" s="2" t="s">
        <v>12</v>
      </c>
      <c r="F131">
        <v>96.8</v>
      </c>
      <c r="G131">
        <v>2980.25</v>
      </c>
      <c r="H131">
        <v>215</v>
      </c>
      <c r="I131">
        <v>4</v>
      </c>
      <c r="J131">
        <v>1</v>
      </c>
    </row>
    <row r="132" spans="1:10" x14ac:dyDescent="0.3">
      <c r="A132" s="2" t="s">
        <v>157</v>
      </c>
      <c r="B132" s="1">
        <v>46149</v>
      </c>
      <c r="C132" s="2" t="s">
        <v>22</v>
      </c>
      <c r="D132" s="2" t="s">
        <v>23</v>
      </c>
      <c r="E132" s="2" t="s">
        <v>24</v>
      </c>
      <c r="F132">
        <v>98.5</v>
      </c>
      <c r="G132">
        <v>3950.5</v>
      </c>
      <c r="H132">
        <v>270</v>
      </c>
      <c r="I132">
        <v>5</v>
      </c>
      <c r="J132">
        <v>3</v>
      </c>
    </row>
    <row r="133" spans="1:10" x14ac:dyDescent="0.3">
      <c r="A133" s="2" t="s">
        <v>158</v>
      </c>
      <c r="B133" s="1">
        <v>46149</v>
      </c>
      <c r="C133" s="2" t="s">
        <v>26</v>
      </c>
      <c r="D133" s="2" t="s">
        <v>23</v>
      </c>
      <c r="E133" s="2" t="s">
        <v>24</v>
      </c>
      <c r="F133">
        <v>96.4</v>
      </c>
      <c r="G133">
        <v>2540</v>
      </c>
      <c r="H133">
        <v>180</v>
      </c>
      <c r="I133">
        <v>5</v>
      </c>
      <c r="J133">
        <v>3</v>
      </c>
    </row>
    <row r="134" spans="1:10" x14ac:dyDescent="0.3">
      <c r="A134" s="2" t="s">
        <v>159</v>
      </c>
      <c r="B134" s="1">
        <v>46150</v>
      </c>
      <c r="C134" s="2" t="s">
        <v>10</v>
      </c>
      <c r="D134" s="2" t="s">
        <v>11</v>
      </c>
      <c r="E134" s="2" t="s">
        <v>12</v>
      </c>
      <c r="F134">
        <v>93.3</v>
      </c>
      <c r="G134">
        <v>1990.5</v>
      </c>
      <c r="H134">
        <v>155</v>
      </c>
      <c r="I134">
        <v>4</v>
      </c>
      <c r="J134">
        <v>1</v>
      </c>
    </row>
    <row r="135" spans="1:10" x14ac:dyDescent="0.3">
      <c r="A135" s="2" t="s">
        <v>160</v>
      </c>
      <c r="B135" s="1">
        <v>46150</v>
      </c>
      <c r="C135" s="2" t="s">
        <v>14</v>
      </c>
      <c r="D135" s="2" t="s">
        <v>11</v>
      </c>
      <c r="E135" s="2" t="s">
        <v>12</v>
      </c>
      <c r="F135">
        <v>95.4</v>
      </c>
      <c r="G135">
        <v>2690</v>
      </c>
      <c r="H135">
        <v>200</v>
      </c>
      <c r="I135">
        <v>5</v>
      </c>
      <c r="J135">
        <v>1</v>
      </c>
    </row>
    <row r="136" spans="1:10" x14ac:dyDescent="0.3">
      <c r="A136" s="2" t="s">
        <v>161</v>
      </c>
      <c r="B136" s="1">
        <v>46150</v>
      </c>
      <c r="C136" s="2" t="s">
        <v>16</v>
      </c>
      <c r="D136" s="2" t="s">
        <v>17</v>
      </c>
      <c r="E136" s="2" t="s">
        <v>18</v>
      </c>
      <c r="F136">
        <v>100.5</v>
      </c>
      <c r="G136">
        <v>4100.25</v>
      </c>
      <c r="H136">
        <v>300</v>
      </c>
      <c r="I136">
        <v>7</v>
      </c>
      <c r="J136">
        <v>2</v>
      </c>
    </row>
    <row r="137" spans="1:10" x14ac:dyDescent="0.3">
      <c r="A137" s="2" t="s">
        <v>162</v>
      </c>
      <c r="B137" s="1">
        <v>46150</v>
      </c>
      <c r="C137" s="2" t="s">
        <v>20</v>
      </c>
      <c r="D137" s="2" t="s">
        <v>17</v>
      </c>
      <c r="E137" s="2" t="s">
        <v>18</v>
      </c>
      <c r="F137">
        <v>103.1</v>
      </c>
      <c r="G137">
        <v>4920.5</v>
      </c>
      <c r="H137">
        <v>360</v>
      </c>
      <c r="I137">
        <v>7</v>
      </c>
      <c r="J137">
        <v>2</v>
      </c>
    </row>
    <row r="138" spans="1:10" x14ac:dyDescent="0.3">
      <c r="A138" s="2" t="s">
        <v>163</v>
      </c>
      <c r="B138" s="1">
        <v>46150</v>
      </c>
      <c r="C138" s="2" t="s">
        <v>22</v>
      </c>
      <c r="D138" s="2" t="s">
        <v>42</v>
      </c>
      <c r="E138" s="2" t="s">
        <v>43</v>
      </c>
      <c r="F138">
        <v>97.8</v>
      </c>
      <c r="G138">
        <v>4520</v>
      </c>
      <c r="H138">
        <v>335</v>
      </c>
      <c r="I138">
        <v>6</v>
      </c>
      <c r="J138">
        <v>6</v>
      </c>
    </row>
    <row r="139" spans="1:10" x14ac:dyDescent="0.3">
      <c r="A139" s="2" t="s">
        <v>164</v>
      </c>
      <c r="B139" s="1">
        <v>46150</v>
      </c>
      <c r="C139" s="2" t="s">
        <v>26</v>
      </c>
      <c r="D139" s="2" t="s">
        <v>42</v>
      </c>
      <c r="E139" s="2" t="s">
        <v>43</v>
      </c>
      <c r="F139">
        <v>96.3</v>
      </c>
      <c r="G139">
        <v>3150.75</v>
      </c>
      <c r="H139">
        <v>235</v>
      </c>
      <c r="I139">
        <v>6</v>
      </c>
      <c r="J139">
        <v>6</v>
      </c>
    </row>
    <row r="140" spans="1:10" x14ac:dyDescent="0.3">
      <c r="A140" s="2" t="s">
        <v>165</v>
      </c>
      <c r="B140" s="1">
        <v>46151</v>
      </c>
      <c r="C140" s="2" t="s">
        <v>10</v>
      </c>
      <c r="D140" s="2" t="s">
        <v>11</v>
      </c>
      <c r="E140" s="2" t="s">
        <v>12</v>
      </c>
      <c r="F140">
        <v>93.9</v>
      </c>
      <c r="G140">
        <v>2520</v>
      </c>
      <c r="H140">
        <v>180</v>
      </c>
      <c r="I140">
        <v>5</v>
      </c>
      <c r="J140">
        <v>1</v>
      </c>
    </row>
    <row r="141" spans="1:10" x14ac:dyDescent="0.3">
      <c r="A141" s="2" t="s">
        <v>166</v>
      </c>
      <c r="B141" s="1">
        <v>46151</v>
      </c>
      <c r="C141" s="2" t="s">
        <v>14</v>
      </c>
      <c r="D141" s="2" t="s">
        <v>11</v>
      </c>
      <c r="E141" s="2" t="s">
        <v>12</v>
      </c>
      <c r="F141">
        <v>96.2</v>
      </c>
      <c r="G141">
        <v>3350.5</v>
      </c>
      <c r="H141">
        <v>240</v>
      </c>
      <c r="I141">
        <v>5</v>
      </c>
      <c r="J141">
        <v>1</v>
      </c>
    </row>
    <row r="142" spans="1:10" x14ac:dyDescent="0.3">
      <c r="A142" s="2" t="s">
        <v>167</v>
      </c>
      <c r="B142" s="1">
        <v>46151</v>
      </c>
      <c r="C142" s="2" t="s">
        <v>16</v>
      </c>
      <c r="D142" s="2" t="s">
        <v>17</v>
      </c>
      <c r="E142" s="2" t="s">
        <v>18</v>
      </c>
      <c r="F142">
        <v>102.1</v>
      </c>
      <c r="G142">
        <v>5050</v>
      </c>
      <c r="H142">
        <v>355</v>
      </c>
      <c r="I142">
        <v>8</v>
      </c>
      <c r="J142">
        <v>2</v>
      </c>
    </row>
    <row r="143" spans="1:10" x14ac:dyDescent="0.3">
      <c r="A143" s="2" t="s">
        <v>168</v>
      </c>
      <c r="B143" s="1">
        <v>46151</v>
      </c>
      <c r="C143" s="2" t="s">
        <v>20</v>
      </c>
      <c r="D143" s="2" t="s">
        <v>17</v>
      </c>
      <c r="E143" s="2" t="s">
        <v>18</v>
      </c>
      <c r="F143">
        <v>105</v>
      </c>
      <c r="G143">
        <v>5820.75</v>
      </c>
      <c r="H143">
        <v>420</v>
      </c>
      <c r="I143">
        <v>8</v>
      </c>
      <c r="J143">
        <v>2</v>
      </c>
    </row>
    <row r="144" spans="1:10" x14ac:dyDescent="0.3">
      <c r="A144" s="2" t="s">
        <v>169</v>
      </c>
      <c r="B144" s="1">
        <v>46151</v>
      </c>
      <c r="C144" s="2" t="s">
        <v>22</v>
      </c>
      <c r="D144" s="2" t="s">
        <v>23</v>
      </c>
      <c r="E144" s="2" t="s">
        <v>24</v>
      </c>
      <c r="F144">
        <v>99.4</v>
      </c>
      <c r="G144">
        <v>5250.5</v>
      </c>
      <c r="H144">
        <v>380</v>
      </c>
      <c r="I144">
        <v>7</v>
      </c>
      <c r="J144">
        <v>3</v>
      </c>
    </row>
    <row r="145" spans="1:10" x14ac:dyDescent="0.3">
      <c r="A145" s="2" t="s">
        <v>170</v>
      </c>
      <c r="B145" s="1">
        <v>46151</v>
      </c>
      <c r="C145" s="2" t="s">
        <v>26</v>
      </c>
      <c r="D145" s="2" t="s">
        <v>23</v>
      </c>
      <c r="E145" s="2" t="s">
        <v>24</v>
      </c>
      <c r="F145">
        <v>97.9</v>
      </c>
      <c r="G145">
        <v>3640</v>
      </c>
      <c r="H145">
        <v>260</v>
      </c>
      <c r="I145">
        <v>7</v>
      </c>
      <c r="J145">
        <v>3</v>
      </c>
    </row>
    <row r="146" spans="1:10" x14ac:dyDescent="0.3">
      <c r="A146" s="2" t="s">
        <v>171</v>
      </c>
      <c r="B146" s="1">
        <v>46155</v>
      </c>
      <c r="C146" s="2" t="s">
        <v>10</v>
      </c>
      <c r="D146" s="2" t="s">
        <v>28</v>
      </c>
      <c r="E146" s="2" t="s">
        <v>29</v>
      </c>
      <c r="F146">
        <v>87.4</v>
      </c>
      <c r="G146">
        <v>850.5</v>
      </c>
      <c r="H146">
        <v>60</v>
      </c>
      <c r="I146">
        <v>3</v>
      </c>
      <c r="J146">
        <v>4</v>
      </c>
    </row>
    <row r="147" spans="1:10" x14ac:dyDescent="0.3">
      <c r="A147" s="2" t="s">
        <v>172</v>
      </c>
      <c r="B147" s="1">
        <v>46155</v>
      </c>
      <c r="C147" s="2" t="s">
        <v>14</v>
      </c>
      <c r="D147" s="2" t="s">
        <v>28</v>
      </c>
      <c r="E147" s="2" t="s">
        <v>29</v>
      </c>
      <c r="F147">
        <v>89.1</v>
      </c>
      <c r="G147">
        <v>1040</v>
      </c>
      <c r="H147">
        <v>90</v>
      </c>
      <c r="I147">
        <v>3</v>
      </c>
      <c r="J147">
        <v>4</v>
      </c>
    </row>
    <row r="148" spans="1:10" x14ac:dyDescent="0.3">
      <c r="A148" s="2" t="s">
        <v>173</v>
      </c>
      <c r="B148" s="1">
        <v>46155</v>
      </c>
      <c r="C148" s="2" t="s">
        <v>16</v>
      </c>
      <c r="D148" s="2" t="s">
        <v>32</v>
      </c>
      <c r="E148" s="2" t="s">
        <v>33</v>
      </c>
      <c r="F148">
        <v>92</v>
      </c>
      <c r="G148">
        <v>1380.25</v>
      </c>
      <c r="H148">
        <v>105</v>
      </c>
      <c r="I148">
        <v>4</v>
      </c>
      <c r="J148">
        <v>5</v>
      </c>
    </row>
    <row r="149" spans="1:10" x14ac:dyDescent="0.3">
      <c r="A149" s="2" t="s">
        <v>174</v>
      </c>
      <c r="B149" s="1">
        <v>46155</v>
      </c>
      <c r="C149" s="2" t="s">
        <v>20</v>
      </c>
      <c r="D149" s="2" t="s">
        <v>32</v>
      </c>
      <c r="E149" s="2" t="s">
        <v>33</v>
      </c>
      <c r="F149">
        <v>93.1</v>
      </c>
      <c r="G149">
        <v>1600.5</v>
      </c>
      <c r="H149">
        <v>125</v>
      </c>
      <c r="I149">
        <v>4</v>
      </c>
      <c r="J149">
        <v>5</v>
      </c>
    </row>
    <row r="150" spans="1:10" x14ac:dyDescent="0.3">
      <c r="A150" s="2" t="s">
        <v>175</v>
      </c>
      <c r="B150" s="1">
        <v>46155</v>
      </c>
      <c r="C150" s="2" t="s">
        <v>22</v>
      </c>
      <c r="D150" s="2" t="s">
        <v>42</v>
      </c>
      <c r="E150" s="2" t="s">
        <v>43</v>
      </c>
      <c r="F150">
        <v>95</v>
      </c>
      <c r="G150">
        <v>2300</v>
      </c>
      <c r="H150">
        <v>165</v>
      </c>
      <c r="I150">
        <v>5</v>
      </c>
      <c r="J150">
        <v>6</v>
      </c>
    </row>
    <row r="151" spans="1:10" x14ac:dyDescent="0.3">
      <c r="A151" s="2" t="s">
        <v>176</v>
      </c>
      <c r="B151" s="1">
        <v>46155</v>
      </c>
      <c r="C151" s="2" t="s">
        <v>26</v>
      </c>
      <c r="D151" s="2" t="s">
        <v>42</v>
      </c>
      <c r="E151" s="2" t="s">
        <v>43</v>
      </c>
      <c r="F151">
        <v>93.6</v>
      </c>
      <c r="G151">
        <v>1480.25</v>
      </c>
      <c r="H151">
        <v>110</v>
      </c>
      <c r="I151">
        <v>5</v>
      </c>
      <c r="J151">
        <v>6</v>
      </c>
    </row>
    <row r="152" spans="1:10" x14ac:dyDescent="0.3">
      <c r="A152" s="2" t="s">
        <v>177</v>
      </c>
      <c r="B152" s="1">
        <v>46156</v>
      </c>
      <c r="C152" s="2" t="s">
        <v>10</v>
      </c>
      <c r="D152" s="2" t="s">
        <v>28</v>
      </c>
      <c r="E152" s="2" t="s">
        <v>29</v>
      </c>
      <c r="F152">
        <v>89.6</v>
      </c>
      <c r="G152">
        <v>1240.5</v>
      </c>
      <c r="H152">
        <v>110</v>
      </c>
      <c r="I152">
        <v>3</v>
      </c>
      <c r="J152">
        <v>4</v>
      </c>
    </row>
    <row r="153" spans="1:10" x14ac:dyDescent="0.3">
      <c r="A153" s="2" t="s">
        <v>178</v>
      </c>
      <c r="B153" s="1">
        <v>46156</v>
      </c>
      <c r="C153" s="2" t="s">
        <v>14</v>
      </c>
      <c r="D153" s="2" t="s">
        <v>28</v>
      </c>
      <c r="E153" s="2" t="s">
        <v>29</v>
      </c>
      <c r="F153">
        <v>91.9</v>
      </c>
      <c r="G153">
        <v>1560</v>
      </c>
      <c r="H153">
        <v>140</v>
      </c>
      <c r="I153">
        <v>3</v>
      </c>
      <c r="J153">
        <v>4</v>
      </c>
    </row>
    <row r="154" spans="1:10" x14ac:dyDescent="0.3">
      <c r="A154" s="2" t="s">
        <v>179</v>
      </c>
      <c r="B154" s="1">
        <v>46156</v>
      </c>
      <c r="C154" s="2" t="s">
        <v>16</v>
      </c>
      <c r="D154" s="2" t="s">
        <v>11</v>
      </c>
      <c r="E154" s="2" t="s">
        <v>12</v>
      </c>
      <c r="F154">
        <v>95.1</v>
      </c>
      <c r="G154">
        <v>2580.5</v>
      </c>
      <c r="H154">
        <v>185</v>
      </c>
      <c r="I154">
        <v>4</v>
      </c>
      <c r="J154">
        <v>1</v>
      </c>
    </row>
    <row r="155" spans="1:10" x14ac:dyDescent="0.3">
      <c r="A155" s="2" t="s">
        <v>180</v>
      </c>
      <c r="B155" s="1">
        <v>46156</v>
      </c>
      <c r="C155" s="2" t="s">
        <v>20</v>
      </c>
      <c r="D155" s="2" t="s">
        <v>11</v>
      </c>
      <c r="E155" s="2" t="s">
        <v>12</v>
      </c>
      <c r="F155">
        <v>97</v>
      </c>
      <c r="G155">
        <v>3060</v>
      </c>
      <c r="H155">
        <v>220</v>
      </c>
      <c r="I155">
        <v>4</v>
      </c>
      <c r="J155">
        <v>1</v>
      </c>
    </row>
    <row r="156" spans="1:10" x14ac:dyDescent="0.3">
      <c r="A156" s="2" t="s">
        <v>181</v>
      </c>
      <c r="B156" s="1">
        <v>46156</v>
      </c>
      <c r="C156" s="2" t="s">
        <v>22</v>
      </c>
      <c r="D156" s="2" t="s">
        <v>23</v>
      </c>
      <c r="E156" s="2" t="s">
        <v>24</v>
      </c>
      <c r="F156">
        <v>98.7</v>
      </c>
      <c r="G156">
        <v>4080.25</v>
      </c>
      <c r="H156">
        <v>280</v>
      </c>
      <c r="I156">
        <v>5</v>
      </c>
      <c r="J156">
        <v>3</v>
      </c>
    </row>
    <row r="157" spans="1:10" x14ac:dyDescent="0.3">
      <c r="A157" s="2" t="s">
        <v>182</v>
      </c>
      <c r="B157" s="1">
        <v>46156</v>
      </c>
      <c r="C157" s="2" t="s">
        <v>26</v>
      </c>
      <c r="D157" s="2" t="s">
        <v>23</v>
      </c>
      <c r="E157" s="2" t="s">
        <v>24</v>
      </c>
      <c r="F157">
        <v>96.6</v>
      </c>
      <c r="G157">
        <v>2620.5</v>
      </c>
      <c r="H157">
        <v>185</v>
      </c>
      <c r="I157">
        <v>5</v>
      </c>
      <c r="J157">
        <v>3</v>
      </c>
    </row>
    <row r="158" spans="1:10" x14ac:dyDescent="0.3">
      <c r="A158" s="2" t="s">
        <v>183</v>
      </c>
      <c r="B158" s="1">
        <v>46157</v>
      </c>
      <c r="C158" s="2" t="s">
        <v>10</v>
      </c>
      <c r="D158" s="2" t="s">
        <v>11</v>
      </c>
      <c r="E158" s="2" t="s">
        <v>12</v>
      </c>
      <c r="F158">
        <v>93.5</v>
      </c>
      <c r="G158">
        <v>2050</v>
      </c>
      <c r="H158">
        <v>160</v>
      </c>
      <c r="I158">
        <v>4</v>
      </c>
      <c r="J158">
        <v>1</v>
      </c>
    </row>
    <row r="159" spans="1:10" x14ac:dyDescent="0.3">
      <c r="A159" s="2" t="s">
        <v>184</v>
      </c>
      <c r="B159" s="1">
        <v>46157</v>
      </c>
      <c r="C159" s="2" t="s">
        <v>14</v>
      </c>
      <c r="D159" s="2" t="s">
        <v>11</v>
      </c>
      <c r="E159" s="2" t="s">
        <v>12</v>
      </c>
      <c r="F159">
        <v>95.6</v>
      </c>
      <c r="G159">
        <v>2760.5</v>
      </c>
      <c r="H159">
        <v>205</v>
      </c>
      <c r="I159">
        <v>5</v>
      </c>
      <c r="J159">
        <v>1</v>
      </c>
    </row>
    <row r="160" spans="1:10" x14ac:dyDescent="0.3">
      <c r="A160" s="2" t="s">
        <v>185</v>
      </c>
      <c r="B160" s="1">
        <v>46157</v>
      </c>
      <c r="C160" s="2" t="s">
        <v>16</v>
      </c>
      <c r="D160" s="2" t="s">
        <v>17</v>
      </c>
      <c r="E160" s="2" t="s">
        <v>18</v>
      </c>
      <c r="F160">
        <v>100.8</v>
      </c>
      <c r="G160">
        <v>4220</v>
      </c>
      <c r="H160">
        <v>310</v>
      </c>
      <c r="I160">
        <v>7</v>
      </c>
      <c r="J160">
        <v>2</v>
      </c>
    </row>
    <row r="161" spans="1:10" x14ac:dyDescent="0.3">
      <c r="A161" s="2" t="s">
        <v>186</v>
      </c>
      <c r="B161" s="1">
        <v>46157</v>
      </c>
      <c r="C161" s="2" t="s">
        <v>20</v>
      </c>
      <c r="D161" s="2" t="s">
        <v>17</v>
      </c>
      <c r="E161" s="2" t="s">
        <v>18</v>
      </c>
      <c r="F161">
        <v>103.4</v>
      </c>
      <c r="G161">
        <v>5050.75</v>
      </c>
      <c r="H161">
        <v>370</v>
      </c>
      <c r="I161">
        <v>7</v>
      </c>
      <c r="J161">
        <v>2</v>
      </c>
    </row>
    <row r="162" spans="1:10" x14ac:dyDescent="0.3">
      <c r="A162" s="2" t="s">
        <v>187</v>
      </c>
      <c r="B162" s="1">
        <v>46157</v>
      </c>
      <c r="C162" s="2" t="s">
        <v>22</v>
      </c>
      <c r="D162" s="2" t="s">
        <v>42</v>
      </c>
      <c r="E162" s="2" t="s">
        <v>43</v>
      </c>
      <c r="F162">
        <v>98</v>
      </c>
      <c r="G162">
        <v>4650</v>
      </c>
      <c r="H162">
        <v>345</v>
      </c>
      <c r="I162">
        <v>6</v>
      </c>
      <c r="J162">
        <v>6</v>
      </c>
    </row>
    <row r="163" spans="1:10" x14ac:dyDescent="0.3">
      <c r="A163" s="2" t="s">
        <v>188</v>
      </c>
      <c r="B163" s="1">
        <v>46157</v>
      </c>
      <c r="C163" s="2" t="s">
        <v>26</v>
      </c>
      <c r="D163" s="2" t="s">
        <v>42</v>
      </c>
      <c r="E163" s="2" t="s">
        <v>43</v>
      </c>
      <c r="F163">
        <v>96.5</v>
      </c>
      <c r="G163">
        <v>3240.5</v>
      </c>
      <c r="H163">
        <v>240</v>
      </c>
      <c r="I163">
        <v>6</v>
      </c>
      <c r="J163">
        <v>6</v>
      </c>
    </row>
    <row r="164" spans="1:10" x14ac:dyDescent="0.3">
      <c r="A164" s="2" t="s">
        <v>189</v>
      </c>
      <c r="B164" s="1">
        <v>46158</v>
      </c>
      <c r="C164" s="2" t="s">
        <v>10</v>
      </c>
      <c r="D164" s="2" t="s">
        <v>11</v>
      </c>
      <c r="E164" s="2" t="s">
        <v>12</v>
      </c>
      <c r="F164">
        <v>94.1</v>
      </c>
      <c r="G164">
        <v>2600.5</v>
      </c>
      <c r="H164">
        <v>185</v>
      </c>
      <c r="I164">
        <v>5</v>
      </c>
      <c r="J164">
        <v>1</v>
      </c>
    </row>
    <row r="165" spans="1:10" x14ac:dyDescent="0.3">
      <c r="A165" s="2" t="s">
        <v>190</v>
      </c>
      <c r="B165" s="1">
        <v>46158</v>
      </c>
      <c r="C165" s="2" t="s">
        <v>14</v>
      </c>
      <c r="D165" s="2" t="s">
        <v>11</v>
      </c>
      <c r="E165" s="2" t="s">
        <v>12</v>
      </c>
      <c r="F165">
        <v>96.4</v>
      </c>
      <c r="G165">
        <v>3420</v>
      </c>
      <c r="H165">
        <v>245</v>
      </c>
      <c r="I165">
        <v>5</v>
      </c>
      <c r="J165">
        <v>1</v>
      </c>
    </row>
    <row r="166" spans="1:10" x14ac:dyDescent="0.3">
      <c r="A166" s="2" t="s">
        <v>191</v>
      </c>
      <c r="B166" s="1">
        <v>46158</v>
      </c>
      <c r="C166" s="2" t="s">
        <v>16</v>
      </c>
      <c r="D166" s="2" t="s">
        <v>17</v>
      </c>
      <c r="E166" s="2" t="s">
        <v>18</v>
      </c>
      <c r="F166">
        <v>102.4</v>
      </c>
      <c r="G166">
        <v>5180.25</v>
      </c>
      <c r="H166">
        <v>365</v>
      </c>
      <c r="I166">
        <v>8</v>
      </c>
      <c r="J166">
        <v>2</v>
      </c>
    </row>
    <row r="167" spans="1:10" x14ac:dyDescent="0.3">
      <c r="A167" s="2" t="s">
        <v>192</v>
      </c>
      <c r="B167" s="1">
        <v>46158</v>
      </c>
      <c r="C167" s="2" t="s">
        <v>20</v>
      </c>
      <c r="D167" s="2" t="s">
        <v>17</v>
      </c>
      <c r="E167" s="2" t="s">
        <v>18</v>
      </c>
      <c r="F167">
        <v>105.3</v>
      </c>
      <c r="G167">
        <v>5950</v>
      </c>
      <c r="H167">
        <v>430</v>
      </c>
      <c r="I167">
        <v>8</v>
      </c>
      <c r="J167">
        <v>2</v>
      </c>
    </row>
    <row r="168" spans="1:10" x14ac:dyDescent="0.3">
      <c r="A168" s="2" t="s">
        <v>193</v>
      </c>
      <c r="B168" s="1">
        <v>46158</v>
      </c>
      <c r="C168" s="2" t="s">
        <v>22</v>
      </c>
      <c r="D168" s="2" t="s">
        <v>23</v>
      </c>
      <c r="E168" s="2" t="s">
        <v>24</v>
      </c>
      <c r="F168">
        <v>99.6</v>
      </c>
      <c r="G168">
        <v>5380.75</v>
      </c>
      <c r="H168">
        <v>390</v>
      </c>
      <c r="I168">
        <v>7</v>
      </c>
      <c r="J168">
        <v>3</v>
      </c>
    </row>
    <row r="169" spans="1:10" x14ac:dyDescent="0.3">
      <c r="A169" s="2" t="s">
        <v>194</v>
      </c>
      <c r="B169" s="1">
        <v>46158</v>
      </c>
      <c r="C169" s="2" t="s">
        <v>26</v>
      </c>
      <c r="D169" s="2" t="s">
        <v>23</v>
      </c>
      <c r="E169" s="2" t="s">
        <v>24</v>
      </c>
      <c r="F169">
        <v>98.1</v>
      </c>
      <c r="G169">
        <v>3750</v>
      </c>
      <c r="H169">
        <v>270</v>
      </c>
      <c r="I169">
        <v>7</v>
      </c>
      <c r="J169">
        <v>3</v>
      </c>
    </row>
    <row r="170" spans="1:10" x14ac:dyDescent="0.3">
      <c r="A170" s="2" t="s">
        <v>195</v>
      </c>
      <c r="B170" s="1">
        <v>46162</v>
      </c>
      <c r="C170" s="2" t="s">
        <v>10</v>
      </c>
      <c r="D170" s="2" t="s">
        <v>28</v>
      </c>
      <c r="E170" s="2" t="s">
        <v>29</v>
      </c>
      <c r="F170">
        <v>87.2</v>
      </c>
      <c r="G170">
        <v>820</v>
      </c>
      <c r="H170">
        <v>55</v>
      </c>
      <c r="I170">
        <v>3</v>
      </c>
      <c r="J170">
        <v>4</v>
      </c>
    </row>
    <row r="171" spans="1:10" x14ac:dyDescent="0.3">
      <c r="A171" s="2" t="s">
        <v>196</v>
      </c>
      <c r="B171" s="1">
        <v>46162</v>
      </c>
      <c r="C171" s="2" t="s">
        <v>14</v>
      </c>
      <c r="D171" s="2" t="s">
        <v>28</v>
      </c>
      <c r="E171" s="2" t="s">
        <v>29</v>
      </c>
      <c r="F171">
        <v>88.9</v>
      </c>
      <c r="G171">
        <v>1000.5</v>
      </c>
      <c r="H171">
        <v>85</v>
      </c>
      <c r="I171">
        <v>3</v>
      </c>
      <c r="J171">
        <v>4</v>
      </c>
    </row>
    <row r="172" spans="1:10" x14ac:dyDescent="0.3">
      <c r="A172" s="2" t="s">
        <v>197</v>
      </c>
      <c r="B172" s="1">
        <v>46162</v>
      </c>
      <c r="C172" s="2" t="s">
        <v>16</v>
      </c>
      <c r="D172" s="2" t="s">
        <v>32</v>
      </c>
      <c r="E172" s="2" t="s">
        <v>33</v>
      </c>
      <c r="F172">
        <v>91.8</v>
      </c>
      <c r="G172">
        <v>1320</v>
      </c>
      <c r="H172">
        <v>100</v>
      </c>
      <c r="I172">
        <v>4</v>
      </c>
      <c r="J172">
        <v>5</v>
      </c>
    </row>
    <row r="173" spans="1:10" x14ac:dyDescent="0.3">
      <c r="A173" s="2" t="s">
        <v>198</v>
      </c>
      <c r="B173" s="1">
        <v>46162</v>
      </c>
      <c r="C173" s="2" t="s">
        <v>20</v>
      </c>
      <c r="D173" s="2" t="s">
        <v>32</v>
      </c>
      <c r="E173" s="2" t="s">
        <v>33</v>
      </c>
      <c r="F173">
        <v>92.9</v>
      </c>
      <c r="G173">
        <v>1550.25</v>
      </c>
      <c r="H173">
        <v>120</v>
      </c>
      <c r="I173">
        <v>4</v>
      </c>
      <c r="J173">
        <v>5</v>
      </c>
    </row>
    <row r="174" spans="1:10" x14ac:dyDescent="0.3">
      <c r="A174" s="2" t="s">
        <v>199</v>
      </c>
      <c r="B174" s="1">
        <v>46162</v>
      </c>
      <c r="C174" s="2" t="s">
        <v>22</v>
      </c>
      <c r="D174" s="2" t="s">
        <v>42</v>
      </c>
      <c r="E174" s="2" t="s">
        <v>43</v>
      </c>
      <c r="F174">
        <v>94.8</v>
      </c>
      <c r="G174">
        <v>2220.5</v>
      </c>
      <c r="H174">
        <v>160</v>
      </c>
      <c r="I174">
        <v>5</v>
      </c>
      <c r="J174">
        <v>6</v>
      </c>
    </row>
    <row r="175" spans="1:10" x14ac:dyDescent="0.3">
      <c r="A175" s="2" t="s">
        <v>200</v>
      </c>
      <c r="B175" s="1">
        <v>46162</v>
      </c>
      <c r="C175" s="2" t="s">
        <v>26</v>
      </c>
      <c r="D175" s="2" t="s">
        <v>42</v>
      </c>
      <c r="E175" s="2" t="s">
        <v>43</v>
      </c>
      <c r="F175">
        <v>93.4</v>
      </c>
      <c r="G175">
        <v>1420</v>
      </c>
      <c r="H175">
        <v>105</v>
      </c>
      <c r="I175">
        <v>5</v>
      </c>
      <c r="J175">
        <v>6</v>
      </c>
    </row>
    <row r="176" spans="1:10" x14ac:dyDescent="0.3">
      <c r="A176" s="2" t="s">
        <v>201</v>
      </c>
      <c r="B176" s="1">
        <v>46163</v>
      </c>
      <c r="C176" s="2" t="s">
        <v>10</v>
      </c>
      <c r="D176" s="2" t="s">
        <v>28</v>
      </c>
      <c r="E176" s="2" t="s">
        <v>29</v>
      </c>
      <c r="F176">
        <v>89.8</v>
      </c>
      <c r="G176">
        <v>1270</v>
      </c>
      <c r="H176">
        <v>115</v>
      </c>
      <c r="I176">
        <v>3</v>
      </c>
      <c r="J176">
        <v>4</v>
      </c>
    </row>
    <row r="177" spans="1:10" x14ac:dyDescent="0.3">
      <c r="A177" s="2" t="s">
        <v>202</v>
      </c>
      <c r="B177" s="1">
        <v>46163</v>
      </c>
      <c r="C177" s="2" t="s">
        <v>14</v>
      </c>
      <c r="D177" s="2" t="s">
        <v>28</v>
      </c>
      <c r="E177" s="2" t="s">
        <v>29</v>
      </c>
      <c r="F177">
        <v>92.1</v>
      </c>
      <c r="G177">
        <v>1600.5</v>
      </c>
      <c r="H177">
        <v>145</v>
      </c>
      <c r="I177">
        <v>3</v>
      </c>
      <c r="J177">
        <v>4</v>
      </c>
    </row>
    <row r="178" spans="1:10" x14ac:dyDescent="0.3">
      <c r="A178" s="2" t="s">
        <v>203</v>
      </c>
      <c r="B178" s="1">
        <v>46163</v>
      </c>
      <c r="C178" s="2" t="s">
        <v>16</v>
      </c>
      <c r="D178" s="2" t="s">
        <v>11</v>
      </c>
      <c r="E178" s="2" t="s">
        <v>12</v>
      </c>
      <c r="F178">
        <v>95.3</v>
      </c>
      <c r="G178">
        <v>2650</v>
      </c>
      <c r="H178">
        <v>190</v>
      </c>
      <c r="I178">
        <v>4</v>
      </c>
      <c r="J178">
        <v>1</v>
      </c>
    </row>
    <row r="179" spans="1:10" x14ac:dyDescent="0.3">
      <c r="A179" s="2" t="s">
        <v>204</v>
      </c>
      <c r="B179" s="1">
        <v>46163</v>
      </c>
      <c r="C179" s="2" t="s">
        <v>20</v>
      </c>
      <c r="D179" s="2" t="s">
        <v>11</v>
      </c>
      <c r="E179" s="2" t="s">
        <v>12</v>
      </c>
      <c r="F179">
        <v>97.2</v>
      </c>
      <c r="G179">
        <v>3140.25</v>
      </c>
      <c r="H179">
        <v>225</v>
      </c>
      <c r="I179">
        <v>4</v>
      </c>
      <c r="J179">
        <v>1</v>
      </c>
    </row>
    <row r="180" spans="1:10" x14ac:dyDescent="0.3">
      <c r="A180" s="2" t="s">
        <v>205</v>
      </c>
      <c r="B180" s="1">
        <v>46163</v>
      </c>
      <c r="C180" s="2" t="s">
        <v>22</v>
      </c>
      <c r="D180" s="2" t="s">
        <v>23</v>
      </c>
      <c r="E180" s="2" t="s">
        <v>24</v>
      </c>
      <c r="F180">
        <v>98.9</v>
      </c>
      <c r="G180">
        <v>4200.5</v>
      </c>
      <c r="H180">
        <v>290</v>
      </c>
      <c r="I180">
        <v>5</v>
      </c>
      <c r="J180">
        <v>3</v>
      </c>
    </row>
    <row r="181" spans="1:10" x14ac:dyDescent="0.3">
      <c r="A181" s="2" t="s">
        <v>206</v>
      </c>
      <c r="B181" s="1">
        <v>46163</v>
      </c>
      <c r="C181" s="2" t="s">
        <v>26</v>
      </c>
      <c r="D181" s="2" t="s">
        <v>23</v>
      </c>
      <c r="E181" s="2" t="s">
        <v>24</v>
      </c>
      <c r="F181">
        <v>96.8</v>
      </c>
      <c r="G181">
        <v>2700</v>
      </c>
      <c r="H181">
        <v>190</v>
      </c>
      <c r="I181">
        <v>5</v>
      </c>
      <c r="J181">
        <v>3</v>
      </c>
    </row>
    <row r="182" spans="1:10" x14ac:dyDescent="0.3">
      <c r="A182" s="2" t="s">
        <v>207</v>
      </c>
      <c r="B182" s="1">
        <v>46164</v>
      </c>
      <c r="C182" s="2" t="s">
        <v>10</v>
      </c>
      <c r="D182" s="2" t="s">
        <v>11</v>
      </c>
      <c r="E182" s="2" t="s">
        <v>12</v>
      </c>
      <c r="F182">
        <v>93.7</v>
      </c>
      <c r="G182">
        <v>2110.5</v>
      </c>
      <c r="H182">
        <v>165</v>
      </c>
      <c r="I182">
        <v>4</v>
      </c>
      <c r="J182">
        <v>1</v>
      </c>
    </row>
    <row r="183" spans="1:10" x14ac:dyDescent="0.3">
      <c r="A183" s="2" t="s">
        <v>208</v>
      </c>
      <c r="B183" s="1">
        <v>46164</v>
      </c>
      <c r="C183" s="2" t="s">
        <v>14</v>
      </c>
      <c r="D183" s="2" t="s">
        <v>11</v>
      </c>
      <c r="E183" s="2" t="s">
        <v>12</v>
      </c>
      <c r="F183">
        <v>95.8</v>
      </c>
      <c r="G183">
        <v>2840</v>
      </c>
      <c r="H183">
        <v>210</v>
      </c>
      <c r="I183">
        <v>5</v>
      </c>
      <c r="J183">
        <v>1</v>
      </c>
    </row>
    <row r="184" spans="1:10" x14ac:dyDescent="0.3">
      <c r="A184" s="2" t="s">
        <v>209</v>
      </c>
      <c r="B184" s="1">
        <v>46164</v>
      </c>
      <c r="C184" s="2" t="s">
        <v>16</v>
      </c>
      <c r="D184" s="2" t="s">
        <v>17</v>
      </c>
      <c r="E184" s="2" t="s">
        <v>18</v>
      </c>
      <c r="F184">
        <v>101.1</v>
      </c>
      <c r="G184">
        <v>4340.5</v>
      </c>
      <c r="H184">
        <v>320</v>
      </c>
      <c r="I184">
        <v>7</v>
      </c>
      <c r="J184">
        <v>2</v>
      </c>
    </row>
    <row r="185" spans="1:10" x14ac:dyDescent="0.3">
      <c r="A185" s="2" t="s">
        <v>210</v>
      </c>
      <c r="B185" s="1">
        <v>46164</v>
      </c>
      <c r="C185" s="2" t="s">
        <v>20</v>
      </c>
      <c r="D185" s="2" t="s">
        <v>17</v>
      </c>
      <c r="E185" s="2" t="s">
        <v>18</v>
      </c>
      <c r="F185">
        <v>103.7</v>
      </c>
      <c r="G185">
        <v>5180</v>
      </c>
      <c r="H185">
        <v>380</v>
      </c>
      <c r="I185">
        <v>7</v>
      </c>
      <c r="J185">
        <v>2</v>
      </c>
    </row>
    <row r="186" spans="1:10" x14ac:dyDescent="0.3">
      <c r="A186" s="2" t="s">
        <v>211</v>
      </c>
      <c r="B186" s="1">
        <v>46164</v>
      </c>
      <c r="C186" s="2" t="s">
        <v>22</v>
      </c>
      <c r="D186" s="2" t="s">
        <v>42</v>
      </c>
      <c r="E186" s="2" t="s">
        <v>43</v>
      </c>
      <c r="F186">
        <v>98.2</v>
      </c>
      <c r="G186">
        <v>4780.25</v>
      </c>
      <c r="H186">
        <v>355</v>
      </c>
      <c r="I186">
        <v>6</v>
      </c>
      <c r="J186">
        <v>6</v>
      </c>
    </row>
    <row r="187" spans="1:10" x14ac:dyDescent="0.3">
      <c r="A187" s="2" t="s">
        <v>212</v>
      </c>
      <c r="B187" s="1">
        <v>46164</v>
      </c>
      <c r="C187" s="2" t="s">
        <v>26</v>
      </c>
      <c r="D187" s="2" t="s">
        <v>42</v>
      </c>
      <c r="E187" s="2" t="s">
        <v>43</v>
      </c>
      <c r="F187">
        <v>96.7</v>
      </c>
      <c r="G187">
        <v>3320</v>
      </c>
      <c r="H187">
        <v>245</v>
      </c>
      <c r="I187">
        <v>6</v>
      </c>
      <c r="J187">
        <v>6</v>
      </c>
    </row>
    <row r="188" spans="1:10" x14ac:dyDescent="0.3">
      <c r="A188" s="2" t="s">
        <v>213</v>
      </c>
      <c r="B188" s="1">
        <v>46165</v>
      </c>
      <c r="C188" s="2" t="s">
        <v>10</v>
      </c>
      <c r="D188" s="2" t="s">
        <v>11</v>
      </c>
      <c r="E188" s="2" t="s">
        <v>12</v>
      </c>
      <c r="F188">
        <v>94.3</v>
      </c>
      <c r="G188">
        <v>2680</v>
      </c>
      <c r="H188">
        <v>190</v>
      </c>
      <c r="I188">
        <v>5</v>
      </c>
      <c r="J188">
        <v>1</v>
      </c>
    </row>
    <row r="189" spans="1:10" x14ac:dyDescent="0.3">
      <c r="A189" s="2" t="s">
        <v>214</v>
      </c>
      <c r="B189" s="1">
        <v>46165</v>
      </c>
      <c r="C189" s="2" t="s">
        <v>14</v>
      </c>
      <c r="D189" s="2" t="s">
        <v>11</v>
      </c>
      <c r="E189" s="2" t="s">
        <v>12</v>
      </c>
      <c r="F189">
        <v>96.6</v>
      </c>
      <c r="G189">
        <v>3500.5</v>
      </c>
      <c r="H189">
        <v>250</v>
      </c>
      <c r="I189">
        <v>5</v>
      </c>
      <c r="J189">
        <v>1</v>
      </c>
    </row>
    <row r="190" spans="1:10" x14ac:dyDescent="0.3">
      <c r="A190" s="2" t="s">
        <v>215</v>
      </c>
      <c r="B190" s="1">
        <v>46165</v>
      </c>
      <c r="C190" s="2" t="s">
        <v>16</v>
      </c>
      <c r="D190" s="2" t="s">
        <v>17</v>
      </c>
      <c r="E190" s="2" t="s">
        <v>18</v>
      </c>
      <c r="F190">
        <v>102.7</v>
      </c>
      <c r="G190">
        <v>5300</v>
      </c>
      <c r="H190">
        <v>375</v>
      </c>
      <c r="I190">
        <v>8</v>
      </c>
      <c r="J190">
        <v>2</v>
      </c>
    </row>
    <row r="191" spans="1:10" x14ac:dyDescent="0.3">
      <c r="A191" s="2" t="s">
        <v>216</v>
      </c>
      <c r="B191" s="1">
        <v>46165</v>
      </c>
      <c r="C191" s="2" t="s">
        <v>20</v>
      </c>
      <c r="D191" s="2" t="s">
        <v>17</v>
      </c>
      <c r="E191" s="2" t="s">
        <v>18</v>
      </c>
      <c r="F191">
        <v>105.6</v>
      </c>
      <c r="G191">
        <v>6080.25</v>
      </c>
      <c r="H191">
        <v>440</v>
      </c>
      <c r="I191">
        <v>8</v>
      </c>
      <c r="J191">
        <v>2</v>
      </c>
    </row>
    <row r="192" spans="1:10" x14ac:dyDescent="0.3">
      <c r="A192" s="2" t="s">
        <v>217</v>
      </c>
      <c r="B192" s="1">
        <v>46165</v>
      </c>
      <c r="C192" s="2" t="s">
        <v>22</v>
      </c>
      <c r="D192" s="2" t="s">
        <v>23</v>
      </c>
      <c r="E192" s="2" t="s">
        <v>24</v>
      </c>
      <c r="F192">
        <v>99.8</v>
      </c>
      <c r="G192">
        <v>5500.5</v>
      </c>
      <c r="H192">
        <v>400</v>
      </c>
      <c r="I192">
        <v>7</v>
      </c>
      <c r="J192">
        <v>3</v>
      </c>
    </row>
    <row r="193" spans="1:10" x14ac:dyDescent="0.3">
      <c r="A193" s="2" t="s">
        <v>218</v>
      </c>
      <c r="B193" s="1">
        <v>46165</v>
      </c>
      <c r="C193" s="2" t="s">
        <v>26</v>
      </c>
      <c r="D193" s="2" t="s">
        <v>23</v>
      </c>
      <c r="E193" s="2" t="s">
        <v>24</v>
      </c>
      <c r="F193">
        <v>98.3</v>
      </c>
      <c r="G193">
        <v>3860</v>
      </c>
      <c r="H193">
        <v>280</v>
      </c>
      <c r="I193">
        <v>7</v>
      </c>
      <c r="J193">
        <v>3</v>
      </c>
    </row>
    <row r="194" spans="1:10" x14ac:dyDescent="0.3">
      <c r="A194" s="2" t="s">
        <v>219</v>
      </c>
      <c r="B194" s="1">
        <v>46169</v>
      </c>
      <c r="C194" s="2" t="s">
        <v>10</v>
      </c>
      <c r="D194" s="2" t="s">
        <v>28</v>
      </c>
      <c r="E194" s="2" t="s">
        <v>29</v>
      </c>
      <c r="F194">
        <v>87</v>
      </c>
      <c r="G194">
        <v>800</v>
      </c>
      <c r="H194">
        <v>50</v>
      </c>
      <c r="I194">
        <v>3</v>
      </c>
      <c r="J194">
        <v>4</v>
      </c>
    </row>
    <row r="195" spans="1:10" x14ac:dyDescent="0.3">
      <c r="A195" s="2" t="s">
        <v>220</v>
      </c>
      <c r="B195" s="1">
        <v>46169</v>
      </c>
      <c r="C195" s="2" t="s">
        <v>14</v>
      </c>
      <c r="D195" s="2" t="s">
        <v>28</v>
      </c>
      <c r="E195" s="2" t="s">
        <v>29</v>
      </c>
      <c r="F195">
        <v>88.7</v>
      </c>
      <c r="G195">
        <v>980.5</v>
      </c>
      <c r="H195">
        <v>80</v>
      </c>
      <c r="I195">
        <v>3</v>
      </c>
      <c r="J195">
        <v>4</v>
      </c>
    </row>
    <row r="196" spans="1:10" x14ac:dyDescent="0.3">
      <c r="A196" s="2" t="s">
        <v>221</v>
      </c>
      <c r="B196" s="1">
        <v>46169</v>
      </c>
      <c r="C196" s="2" t="s">
        <v>16</v>
      </c>
      <c r="D196" s="2" t="s">
        <v>32</v>
      </c>
      <c r="E196" s="2" t="s">
        <v>33</v>
      </c>
      <c r="F196">
        <v>91.5</v>
      </c>
      <c r="G196">
        <v>1280</v>
      </c>
      <c r="H196">
        <v>95</v>
      </c>
      <c r="I196">
        <v>4</v>
      </c>
      <c r="J196">
        <v>5</v>
      </c>
    </row>
    <row r="197" spans="1:10" x14ac:dyDescent="0.3">
      <c r="A197" s="2" t="s">
        <v>222</v>
      </c>
      <c r="B197" s="1">
        <v>46169</v>
      </c>
      <c r="C197" s="2" t="s">
        <v>20</v>
      </c>
      <c r="D197" s="2" t="s">
        <v>32</v>
      </c>
      <c r="E197" s="2" t="s">
        <v>33</v>
      </c>
      <c r="F197">
        <v>92.7</v>
      </c>
      <c r="G197">
        <v>1500.25</v>
      </c>
      <c r="H197">
        <v>115</v>
      </c>
      <c r="I197">
        <v>4</v>
      </c>
      <c r="J197">
        <v>5</v>
      </c>
    </row>
    <row r="198" spans="1:10" x14ac:dyDescent="0.3">
      <c r="A198" s="2" t="s">
        <v>223</v>
      </c>
      <c r="B198" s="1">
        <v>46169</v>
      </c>
      <c r="C198" s="2" t="s">
        <v>22</v>
      </c>
      <c r="D198" s="2" t="s">
        <v>42</v>
      </c>
      <c r="E198" s="2" t="s">
        <v>43</v>
      </c>
      <c r="F198">
        <v>94.6</v>
      </c>
      <c r="G198">
        <v>2150.5</v>
      </c>
      <c r="H198">
        <v>155</v>
      </c>
      <c r="I198">
        <v>5</v>
      </c>
      <c r="J198">
        <v>6</v>
      </c>
    </row>
    <row r="199" spans="1:10" x14ac:dyDescent="0.3">
      <c r="A199" s="2" t="s">
        <v>224</v>
      </c>
      <c r="B199" s="1">
        <v>46169</v>
      </c>
      <c r="C199" s="2" t="s">
        <v>26</v>
      </c>
      <c r="D199" s="2" t="s">
        <v>42</v>
      </c>
      <c r="E199" s="2" t="s">
        <v>43</v>
      </c>
      <c r="F199">
        <v>93.2</v>
      </c>
      <c r="G199">
        <v>1380</v>
      </c>
      <c r="H199">
        <v>100</v>
      </c>
      <c r="I199">
        <v>5</v>
      </c>
      <c r="J199">
        <v>6</v>
      </c>
    </row>
    <row r="200" spans="1:10" x14ac:dyDescent="0.3">
      <c r="A200" s="2" t="s">
        <v>225</v>
      </c>
      <c r="B200" s="1">
        <v>46170</v>
      </c>
      <c r="C200" s="2" t="s">
        <v>10</v>
      </c>
      <c r="D200" s="2" t="s">
        <v>28</v>
      </c>
      <c r="E200" s="2" t="s">
        <v>29</v>
      </c>
      <c r="F200">
        <v>90</v>
      </c>
      <c r="G200">
        <v>1300.5</v>
      </c>
      <c r="H200">
        <v>120</v>
      </c>
      <c r="I200">
        <v>3</v>
      </c>
      <c r="J200">
        <v>4</v>
      </c>
    </row>
    <row r="201" spans="1:10" x14ac:dyDescent="0.3">
      <c r="A201" s="2" t="s">
        <v>226</v>
      </c>
      <c r="B201" s="1">
        <v>46170</v>
      </c>
      <c r="C201" s="2" t="s">
        <v>14</v>
      </c>
      <c r="D201" s="2" t="s">
        <v>28</v>
      </c>
      <c r="E201" s="2" t="s">
        <v>29</v>
      </c>
      <c r="F201">
        <v>92.3</v>
      </c>
      <c r="G201">
        <v>1640</v>
      </c>
      <c r="H201">
        <v>150</v>
      </c>
      <c r="I201">
        <v>3</v>
      </c>
      <c r="J20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9DD31-8426-44EE-A15D-686C83221FF1}">
  <dimension ref="X15"/>
  <sheetViews>
    <sheetView showGridLines="0" tabSelected="1" zoomScale="43" workbookViewId="0">
      <selection activeCell="AK24" sqref="AK24"/>
    </sheetView>
  </sheetViews>
  <sheetFormatPr defaultRowHeight="14.4" x14ac:dyDescent="0.3"/>
  <cols>
    <col min="1" max="16384" width="8.88671875" style="7"/>
  </cols>
  <sheetData>
    <row r="15" spans="24:24" x14ac:dyDescent="0.3">
      <c r="X15"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57A40-50C3-46F3-87A7-3CE3D333FDC7}">
  <dimension ref="D9:N94"/>
  <sheetViews>
    <sheetView topLeftCell="A8" zoomScale="59" workbookViewId="0">
      <selection activeCell="J36" sqref="J36"/>
    </sheetView>
  </sheetViews>
  <sheetFormatPr defaultRowHeight="14.4" x14ac:dyDescent="0.3"/>
  <cols>
    <col min="4" max="4" width="18.5546875" bestFit="1" customWidth="1"/>
    <col min="5" max="6" width="39.33203125" bestFit="1" customWidth="1"/>
    <col min="10" max="10" width="26.109375" bestFit="1" customWidth="1"/>
    <col min="11" max="11" width="39.33203125" bestFit="1" customWidth="1"/>
    <col min="12" max="13" width="18.5546875" bestFit="1" customWidth="1"/>
    <col min="14" max="14" width="39.33203125" bestFit="1" customWidth="1"/>
  </cols>
  <sheetData>
    <row r="9" spans="4:13" x14ac:dyDescent="0.3">
      <c r="D9" s="3" t="s">
        <v>228</v>
      </c>
      <c r="E9" t="s">
        <v>230</v>
      </c>
      <c r="F9" t="s">
        <v>231</v>
      </c>
      <c r="L9" s="3" t="s">
        <v>228</v>
      </c>
      <c r="M9" t="s">
        <v>232</v>
      </c>
    </row>
    <row r="10" spans="4:13" x14ac:dyDescent="0.3">
      <c r="D10" s="4" t="s">
        <v>33</v>
      </c>
      <c r="E10" s="2">
        <v>29164.25</v>
      </c>
      <c r="F10" s="2">
        <v>18</v>
      </c>
      <c r="L10" s="4" t="s">
        <v>18</v>
      </c>
      <c r="M10" s="2">
        <v>11405</v>
      </c>
    </row>
    <row r="11" spans="4:13" x14ac:dyDescent="0.3">
      <c r="D11" s="4" t="s">
        <v>29</v>
      </c>
      <c r="E11" s="2">
        <v>39868</v>
      </c>
      <c r="F11" s="2">
        <v>34</v>
      </c>
      <c r="L11" s="4" t="s">
        <v>12</v>
      </c>
      <c r="M11" s="2">
        <v>8805</v>
      </c>
    </row>
    <row r="12" spans="4:13" x14ac:dyDescent="0.3">
      <c r="D12" s="4" t="s">
        <v>43</v>
      </c>
      <c r="E12" s="2">
        <v>90477.5</v>
      </c>
      <c r="F12" s="2">
        <v>32</v>
      </c>
      <c r="L12" s="4" t="s">
        <v>24</v>
      </c>
      <c r="M12" s="2">
        <v>8655</v>
      </c>
    </row>
    <row r="13" spans="4:13" x14ac:dyDescent="0.3">
      <c r="D13" s="4" t="s">
        <v>12</v>
      </c>
      <c r="E13" s="2">
        <v>119821.5</v>
      </c>
      <c r="F13" s="2">
        <v>48</v>
      </c>
      <c r="L13" s="4" t="s">
        <v>43</v>
      </c>
      <c r="M13" s="2">
        <v>6675</v>
      </c>
    </row>
    <row r="14" spans="4:13" x14ac:dyDescent="0.3">
      <c r="D14" s="4" t="s">
        <v>24</v>
      </c>
      <c r="E14" s="2">
        <v>121580</v>
      </c>
      <c r="F14" s="2">
        <v>34</v>
      </c>
      <c r="L14" s="4" t="s">
        <v>29</v>
      </c>
      <c r="M14" s="2">
        <v>3430</v>
      </c>
    </row>
    <row r="15" spans="4:13" x14ac:dyDescent="0.3">
      <c r="D15" s="4" t="s">
        <v>18</v>
      </c>
      <c r="E15" s="2">
        <v>158349.5</v>
      </c>
      <c r="F15" s="2">
        <v>34</v>
      </c>
      <c r="L15" s="4" t="s">
        <v>33</v>
      </c>
      <c r="M15" s="2">
        <v>2275</v>
      </c>
    </row>
    <row r="16" spans="4:13" x14ac:dyDescent="0.3">
      <c r="D16" s="4" t="s">
        <v>229</v>
      </c>
      <c r="E16" s="2">
        <v>559260.75</v>
      </c>
      <c r="F16" s="2">
        <v>200</v>
      </c>
      <c r="L16" s="4" t="s">
        <v>229</v>
      </c>
      <c r="M16" s="2">
        <v>41245</v>
      </c>
    </row>
    <row r="22" spans="4:14" x14ac:dyDescent="0.3">
      <c r="D22" s="3" t="s">
        <v>228</v>
      </c>
      <c r="E22" t="s">
        <v>230</v>
      </c>
      <c r="J22" s="3" t="s">
        <v>228</v>
      </c>
      <c r="K22" t="s">
        <v>230</v>
      </c>
      <c r="M22" s="3" t="s">
        <v>228</v>
      </c>
      <c r="N22" t="s">
        <v>230</v>
      </c>
    </row>
    <row r="23" spans="4:14" x14ac:dyDescent="0.3">
      <c r="D23" s="4" t="s">
        <v>42</v>
      </c>
      <c r="E23" s="2">
        <v>90477.5</v>
      </c>
      <c r="J23" s="4" t="s">
        <v>10</v>
      </c>
      <c r="K23" s="2">
        <v>53288</v>
      </c>
      <c r="M23" s="4">
        <v>50</v>
      </c>
      <c r="N23" s="2">
        <v>800</v>
      </c>
    </row>
    <row r="24" spans="4:14" x14ac:dyDescent="0.3">
      <c r="D24" s="4" t="s">
        <v>11</v>
      </c>
      <c r="E24" s="2">
        <v>119821.5</v>
      </c>
      <c r="J24" s="4" t="s">
        <v>14</v>
      </c>
      <c r="K24" s="2">
        <v>69568.5</v>
      </c>
      <c r="M24" s="4">
        <v>55</v>
      </c>
      <c r="N24" s="2">
        <v>820</v>
      </c>
    </row>
    <row r="25" spans="4:14" x14ac:dyDescent="0.3">
      <c r="D25" s="4" t="s">
        <v>28</v>
      </c>
      <c r="E25" s="2">
        <v>39868</v>
      </c>
      <c r="J25" s="4" t="s">
        <v>26</v>
      </c>
      <c r="K25" s="2">
        <v>85146.25</v>
      </c>
      <c r="M25" s="4">
        <v>60</v>
      </c>
      <c r="N25" s="2">
        <v>850.5</v>
      </c>
    </row>
    <row r="26" spans="4:14" x14ac:dyDescent="0.3">
      <c r="D26" s="4" t="s">
        <v>17</v>
      </c>
      <c r="E26" s="2">
        <v>158349.5</v>
      </c>
      <c r="J26" s="4" t="s">
        <v>16</v>
      </c>
      <c r="K26" s="2">
        <v>102648.5</v>
      </c>
      <c r="M26" s="4">
        <v>65</v>
      </c>
      <c r="N26" s="2">
        <v>880</v>
      </c>
    </row>
    <row r="27" spans="4:14" x14ac:dyDescent="0.3">
      <c r="D27" s="4" t="s">
        <v>32</v>
      </c>
      <c r="E27" s="2">
        <v>29164.25</v>
      </c>
      <c r="J27" s="4" t="s">
        <v>20</v>
      </c>
      <c r="K27" s="2">
        <v>121698.25</v>
      </c>
      <c r="M27" s="4">
        <v>70</v>
      </c>
      <c r="N27" s="2">
        <v>900</v>
      </c>
    </row>
    <row r="28" spans="4:14" x14ac:dyDescent="0.3">
      <c r="D28" s="4" t="s">
        <v>23</v>
      </c>
      <c r="E28" s="2">
        <v>121580</v>
      </c>
      <c r="J28" s="4" t="s">
        <v>22</v>
      </c>
      <c r="K28" s="2">
        <v>126911.25</v>
      </c>
      <c r="M28" s="4">
        <v>75</v>
      </c>
      <c r="N28" s="2">
        <v>920.5</v>
      </c>
    </row>
    <row r="29" spans="4:14" x14ac:dyDescent="0.3">
      <c r="D29" s="4" t="s">
        <v>229</v>
      </c>
      <c r="E29" s="5">
        <v>559260.75</v>
      </c>
      <c r="J29" s="4" t="s">
        <v>229</v>
      </c>
      <c r="K29" s="2">
        <v>559260.75</v>
      </c>
      <c r="M29" s="4">
        <v>80</v>
      </c>
      <c r="N29" s="2">
        <v>1930.5</v>
      </c>
    </row>
    <row r="30" spans="4:14" x14ac:dyDescent="0.3">
      <c r="M30" s="4">
        <v>85</v>
      </c>
      <c r="N30" s="2">
        <v>1980.5</v>
      </c>
    </row>
    <row r="31" spans="4:14" x14ac:dyDescent="0.3">
      <c r="M31" s="4">
        <v>90</v>
      </c>
      <c r="N31" s="2">
        <v>3170.75</v>
      </c>
    </row>
    <row r="32" spans="4:14" x14ac:dyDescent="0.3">
      <c r="M32" s="4">
        <v>95</v>
      </c>
      <c r="N32" s="2">
        <v>4630.25</v>
      </c>
    </row>
    <row r="33" spans="6:14" x14ac:dyDescent="0.3">
      <c r="M33" s="4">
        <v>100</v>
      </c>
      <c r="N33" s="2">
        <v>4991</v>
      </c>
    </row>
    <row r="34" spans="6:14" x14ac:dyDescent="0.3">
      <c r="M34" s="4">
        <v>105</v>
      </c>
      <c r="N34" s="2">
        <v>5160.25</v>
      </c>
    </row>
    <row r="35" spans="6:14" x14ac:dyDescent="0.3">
      <c r="F35" t="s">
        <v>233</v>
      </c>
      <c r="J35" t="s">
        <v>232</v>
      </c>
      <c r="M35" s="4">
        <v>110</v>
      </c>
      <c r="N35" s="2">
        <v>6762.25</v>
      </c>
    </row>
    <row r="36" spans="6:14" x14ac:dyDescent="0.3">
      <c r="F36" s="5">
        <v>2796.30375</v>
      </c>
      <c r="J36" s="2">
        <v>41245</v>
      </c>
      <c r="M36" s="4">
        <v>115</v>
      </c>
      <c r="N36" s="2">
        <v>7010.5</v>
      </c>
    </row>
    <row r="37" spans="6:14" x14ac:dyDescent="0.3">
      <c r="M37" s="4">
        <v>120</v>
      </c>
      <c r="N37" s="2">
        <v>8641.5</v>
      </c>
    </row>
    <row r="38" spans="6:14" x14ac:dyDescent="0.3">
      <c r="M38" s="4">
        <v>125</v>
      </c>
      <c r="N38" s="2">
        <v>7681.75</v>
      </c>
    </row>
    <row r="39" spans="6:14" x14ac:dyDescent="0.3">
      <c r="M39" s="4">
        <v>130</v>
      </c>
      <c r="N39" s="2">
        <v>6520.75</v>
      </c>
    </row>
    <row r="40" spans="6:14" x14ac:dyDescent="0.3">
      <c r="M40" s="4">
        <v>135</v>
      </c>
      <c r="N40" s="2">
        <v>6671.5</v>
      </c>
    </row>
    <row r="41" spans="6:14" x14ac:dyDescent="0.3">
      <c r="M41" s="4">
        <v>140</v>
      </c>
      <c r="N41" s="2">
        <v>8740.75</v>
      </c>
    </row>
    <row r="42" spans="6:14" x14ac:dyDescent="0.3">
      <c r="M42" s="4">
        <v>145</v>
      </c>
      <c r="N42" s="2">
        <v>7191.25</v>
      </c>
    </row>
    <row r="43" spans="6:14" x14ac:dyDescent="0.3">
      <c r="M43" s="4">
        <v>150</v>
      </c>
      <c r="N43" s="2">
        <v>5530</v>
      </c>
    </row>
    <row r="44" spans="6:14" x14ac:dyDescent="0.3">
      <c r="M44" s="4">
        <v>155</v>
      </c>
      <c r="N44" s="2">
        <v>10371.5</v>
      </c>
    </row>
    <row r="45" spans="6:14" x14ac:dyDescent="0.3">
      <c r="F45" t="s">
        <v>230</v>
      </c>
      <c r="M45" s="4">
        <v>160</v>
      </c>
      <c r="N45" s="2">
        <v>10631.25</v>
      </c>
    </row>
    <row r="46" spans="6:14" x14ac:dyDescent="0.3">
      <c r="F46" s="5">
        <v>559260.75</v>
      </c>
      <c r="M46" s="4">
        <v>165</v>
      </c>
      <c r="N46" s="2">
        <v>13331.75</v>
      </c>
    </row>
    <row r="47" spans="6:14" x14ac:dyDescent="0.3">
      <c r="M47" s="4">
        <v>170</v>
      </c>
      <c r="N47" s="2">
        <v>9280.75</v>
      </c>
    </row>
    <row r="48" spans="6:14" x14ac:dyDescent="0.3">
      <c r="M48" s="4">
        <v>175</v>
      </c>
      <c r="N48" s="2">
        <v>12022</v>
      </c>
    </row>
    <row r="49" spans="13:14" x14ac:dyDescent="0.3">
      <c r="M49" s="4">
        <v>180</v>
      </c>
      <c r="N49" s="2">
        <v>12460.5</v>
      </c>
    </row>
    <row r="50" spans="13:14" x14ac:dyDescent="0.3">
      <c r="M50" s="4">
        <v>185</v>
      </c>
      <c r="N50" s="2">
        <v>12802</v>
      </c>
    </row>
    <row r="51" spans="13:14" x14ac:dyDescent="0.3">
      <c r="M51" s="4">
        <v>190</v>
      </c>
      <c r="N51" s="2">
        <v>15801</v>
      </c>
    </row>
    <row r="52" spans="13:14" x14ac:dyDescent="0.3">
      <c r="M52" s="4">
        <v>195</v>
      </c>
      <c r="N52" s="2">
        <v>7930.5</v>
      </c>
    </row>
    <row r="53" spans="13:14" x14ac:dyDescent="0.3">
      <c r="M53" s="4">
        <v>200</v>
      </c>
      <c r="N53" s="2">
        <v>11001.25</v>
      </c>
    </row>
    <row r="54" spans="13:14" x14ac:dyDescent="0.3">
      <c r="M54" s="4">
        <v>205</v>
      </c>
      <c r="N54" s="2">
        <v>5600.5</v>
      </c>
    </row>
    <row r="55" spans="13:14" x14ac:dyDescent="0.3">
      <c r="M55" s="4">
        <v>210</v>
      </c>
      <c r="N55" s="2">
        <v>14501</v>
      </c>
    </row>
    <row r="56" spans="13:14" x14ac:dyDescent="0.3">
      <c r="M56" s="4">
        <v>215</v>
      </c>
      <c r="N56" s="2">
        <v>8851</v>
      </c>
    </row>
    <row r="57" spans="13:14" x14ac:dyDescent="0.3">
      <c r="M57" s="4">
        <v>220</v>
      </c>
      <c r="N57" s="2">
        <v>9280.5</v>
      </c>
    </row>
    <row r="58" spans="13:14" x14ac:dyDescent="0.3">
      <c r="M58" s="4">
        <v>225</v>
      </c>
      <c r="N58" s="2">
        <v>9530.75</v>
      </c>
    </row>
    <row r="59" spans="13:14" x14ac:dyDescent="0.3">
      <c r="M59" s="4">
        <v>230</v>
      </c>
      <c r="N59" s="2">
        <v>13021.75</v>
      </c>
    </row>
    <row r="60" spans="13:14" x14ac:dyDescent="0.3">
      <c r="M60" s="4">
        <v>235</v>
      </c>
      <c r="N60" s="2">
        <v>3150.75</v>
      </c>
    </row>
    <row r="61" spans="13:14" x14ac:dyDescent="0.3">
      <c r="M61" s="4">
        <v>240</v>
      </c>
      <c r="N61" s="2">
        <v>13521.25</v>
      </c>
    </row>
    <row r="62" spans="13:14" x14ac:dyDescent="0.3">
      <c r="M62" s="4">
        <v>245</v>
      </c>
      <c r="N62" s="2">
        <v>10350</v>
      </c>
    </row>
    <row r="63" spans="13:14" x14ac:dyDescent="0.3">
      <c r="M63" s="4">
        <v>250</v>
      </c>
      <c r="N63" s="2">
        <v>10701</v>
      </c>
    </row>
    <row r="64" spans="13:14" x14ac:dyDescent="0.3">
      <c r="M64" s="4">
        <v>260</v>
      </c>
      <c r="N64" s="2">
        <v>10940.5</v>
      </c>
    </row>
    <row r="65" spans="13:14" x14ac:dyDescent="0.3">
      <c r="M65" s="4">
        <v>270</v>
      </c>
      <c r="N65" s="2">
        <v>11351</v>
      </c>
    </row>
    <row r="66" spans="13:14" x14ac:dyDescent="0.3">
      <c r="M66" s="4">
        <v>275</v>
      </c>
      <c r="N66" s="2">
        <v>3720</v>
      </c>
    </row>
    <row r="67" spans="13:14" x14ac:dyDescent="0.3">
      <c r="M67" s="4">
        <v>280</v>
      </c>
      <c r="N67" s="2">
        <v>11750.5</v>
      </c>
    </row>
    <row r="68" spans="13:14" x14ac:dyDescent="0.3">
      <c r="M68" s="4">
        <v>290</v>
      </c>
      <c r="N68" s="2">
        <v>12040.75</v>
      </c>
    </row>
    <row r="69" spans="13:14" x14ac:dyDescent="0.3">
      <c r="M69" s="4">
        <v>295</v>
      </c>
      <c r="N69" s="2">
        <v>8050.75</v>
      </c>
    </row>
    <row r="70" spans="13:14" x14ac:dyDescent="0.3">
      <c r="M70" s="4">
        <v>300</v>
      </c>
      <c r="N70" s="2">
        <v>4100.25</v>
      </c>
    </row>
    <row r="71" spans="13:14" x14ac:dyDescent="0.3">
      <c r="M71" s="4">
        <v>305</v>
      </c>
      <c r="N71" s="2">
        <v>8470.5</v>
      </c>
    </row>
    <row r="72" spans="13:14" x14ac:dyDescent="0.3">
      <c r="M72" s="4">
        <v>310</v>
      </c>
      <c r="N72" s="2">
        <v>8470</v>
      </c>
    </row>
    <row r="73" spans="13:14" x14ac:dyDescent="0.3">
      <c r="M73" s="4">
        <v>315</v>
      </c>
      <c r="N73" s="2">
        <v>8570.5</v>
      </c>
    </row>
    <row r="74" spans="13:14" x14ac:dyDescent="0.3">
      <c r="M74" s="4">
        <v>320</v>
      </c>
      <c r="N74" s="2">
        <v>13331</v>
      </c>
    </row>
    <row r="75" spans="13:14" x14ac:dyDescent="0.3">
      <c r="M75" s="4">
        <v>325</v>
      </c>
      <c r="N75" s="2">
        <v>8891.25</v>
      </c>
    </row>
    <row r="76" spans="13:14" x14ac:dyDescent="0.3">
      <c r="M76" s="4">
        <v>330</v>
      </c>
      <c r="N76" s="2">
        <v>4550.75</v>
      </c>
    </row>
    <row r="77" spans="13:14" x14ac:dyDescent="0.3">
      <c r="M77" s="4">
        <v>335</v>
      </c>
      <c r="N77" s="2">
        <v>9270</v>
      </c>
    </row>
    <row r="78" spans="13:14" x14ac:dyDescent="0.3">
      <c r="M78" s="4">
        <v>340</v>
      </c>
      <c r="N78" s="2">
        <v>9400.5</v>
      </c>
    </row>
    <row r="79" spans="13:14" x14ac:dyDescent="0.3">
      <c r="M79" s="4">
        <v>345</v>
      </c>
      <c r="N79" s="2">
        <v>9570.75</v>
      </c>
    </row>
    <row r="80" spans="13:14" x14ac:dyDescent="0.3">
      <c r="M80" s="4">
        <v>350</v>
      </c>
      <c r="N80" s="2">
        <v>9760.25</v>
      </c>
    </row>
    <row r="81" spans="13:14" x14ac:dyDescent="0.3">
      <c r="M81" s="4">
        <v>355</v>
      </c>
      <c r="N81" s="2">
        <v>14740.75</v>
      </c>
    </row>
    <row r="82" spans="13:14" x14ac:dyDescent="0.3">
      <c r="M82" s="4">
        <v>360</v>
      </c>
      <c r="N82" s="2">
        <v>4920.5</v>
      </c>
    </row>
    <row r="83" spans="13:14" x14ac:dyDescent="0.3">
      <c r="M83" s="4">
        <v>365</v>
      </c>
      <c r="N83" s="2">
        <v>10300.25</v>
      </c>
    </row>
    <row r="84" spans="13:14" x14ac:dyDescent="0.3">
      <c r="M84" s="4">
        <v>370</v>
      </c>
      <c r="N84" s="2">
        <v>10151</v>
      </c>
    </row>
    <row r="85" spans="13:14" x14ac:dyDescent="0.3">
      <c r="M85" s="4">
        <v>375</v>
      </c>
      <c r="N85" s="2">
        <v>5300</v>
      </c>
    </row>
    <row r="86" spans="13:14" x14ac:dyDescent="0.3">
      <c r="M86" s="4">
        <v>380</v>
      </c>
      <c r="N86" s="2">
        <v>15771</v>
      </c>
    </row>
    <row r="87" spans="13:14" x14ac:dyDescent="0.3">
      <c r="M87" s="4">
        <v>390</v>
      </c>
      <c r="N87" s="2">
        <v>5380.75</v>
      </c>
    </row>
    <row r="88" spans="13:14" x14ac:dyDescent="0.3">
      <c r="M88" s="4">
        <v>395</v>
      </c>
      <c r="N88" s="2">
        <v>5500.25</v>
      </c>
    </row>
    <row r="89" spans="13:14" x14ac:dyDescent="0.3">
      <c r="M89" s="4">
        <v>400</v>
      </c>
      <c r="N89" s="2">
        <v>5500.5</v>
      </c>
    </row>
    <row r="90" spans="13:14" x14ac:dyDescent="0.3">
      <c r="M90" s="4">
        <v>410</v>
      </c>
      <c r="N90" s="2">
        <v>5680</v>
      </c>
    </row>
    <row r="91" spans="13:14" x14ac:dyDescent="0.3">
      <c r="M91" s="4">
        <v>420</v>
      </c>
      <c r="N91" s="2">
        <v>5820.75</v>
      </c>
    </row>
    <row r="92" spans="13:14" x14ac:dyDescent="0.3">
      <c r="M92" s="4">
        <v>430</v>
      </c>
      <c r="N92" s="2">
        <v>5950</v>
      </c>
    </row>
    <row r="93" spans="13:14" x14ac:dyDescent="0.3">
      <c r="M93" s="4">
        <v>440</v>
      </c>
      <c r="N93" s="2">
        <v>6080.25</v>
      </c>
    </row>
    <row r="94" spans="13:14" x14ac:dyDescent="0.3">
      <c r="M94" s="4" t="s">
        <v>229</v>
      </c>
      <c r="N94" s="2">
        <v>559260.75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1"/>
  <sheetViews>
    <sheetView workbookViewId="0">
      <selection sqref="A1:A201"/>
    </sheetView>
  </sheetViews>
  <sheetFormatPr defaultRowHeight="14.4" x14ac:dyDescent="0.3"/>
  <cols>
    <col min="9" max="9" width="18.6640625" customWidth="1"/>
  </cols>
  <sheetData>
    <row r="1" spans="1:9" x14ac:dyDescent="0.3">
      <c r="A1" t="s">
        <v>0</v>
      </c>
      <c r="B1" t="s">
        <v>1</v>
      </c>
      <c r="C1" t="s">
        <v>2</v>
      </c>
      <c r="D1" t="s">
        <v>3</v>
      </c>
      <c r="E1" t="s">
        <v>4</v>
      </c>
      <c r="F1" t="s">
        <v>5</v>
      </c>
      <c r="G1" t="s">
        <v>6</v>
      </c>
      <c r="H1" t="s">
        <v>7</v>
      </c>
      <c r="I1" t="s">
        <v>8</v>
      </c>
    </row>
    <row r="2" spans="1:9" x14ac:dyDescent="0.3">
      <c r="A2" t="s">
        <v>9</v>
      </c>
      <c r="B2" s="1">
        <v>46113</v>
      </c>
      <c r="C2" t="s">
        <v>10</v>
      </c>
      <c r="D2" t="s">
        <v>11</v>
      </c>
      <c r="E2" t="s">
        <v>12</v>
      </c>
      <c r="F2">
        <v>92.5</v>
      </c>
      <c r="G2">
        <v>1420.5</v>
      </c>
      <c r="H2">
        <v>110</v>
      </c>
      <c r="I2">
        <v>4</v>
      </c>
    </row>
    <row r="3" spans="1:9" x14ac:dyDescent="0.3">
      <c r="A3" t="s">
        <v>13</v>
      </c>
      <c r="B3" s="1">
        <v>46113</v>
      </c>
      <c r="C3" t="s">
        <v>14</v>
      </c>
      <c r="D3" t="s">
        <v>11</v>
      </c>
      <c r="E3" t="s">
        <v>12</v>
      </c>
      <c r="F3">
        <v>94.1</v>
      </c>
      <c r="G3">
        <v>1850</v>
      </c>
      <c r="H3">
        <v>145</v>
      </c>
      <c r="I3">
        <v>4</v>
      </c>
    </row>
    <row r="4" spans="1:9" x14ac:dyDescent="0.3">
      <c r="A4" t="s">
        <v>15</v>
      </c>
      <c r="B4" s="1">
        <v>46113</v>
      </c>
      <c r="C4" t="s">
        <v>16</v>
      </c>
      <c r="D4" t="s">
        <v>17</v>
      </c>
      <c r="E4" t="s">
        <v>18</v>
      </c>
      <c r="F4">
        <v>98.2</v>
      </c>
      <c r="G4">
        <v>2940.25</v>
      </c>
      <c r="H4">
        <v>210</v>
      </c>
      <c r="I4">
        <v>6</v>
      </c>
    </row>
    <row r="5" spans="1:9" x14ac:dyDescent="0.3">
      <c r="A5" t="s">
        <v>19</v>
      </c>
      <c r="B5" s="1">
        <v>46113</v>
      </c>
      <c r="C5" t="s">
        <v>20</v>
      </c>
      <c r="D5" t="s">
        <v>17</v>
      </c>
      <c r="E5" t="s">
        <v>18</v>
      </c>
      <c r="F5">
        <v>101.4</v>
      </c>
      <c r="G5">
        <v>3610</v>
      </c>
      <c r="H5">
        <v>245</v>
      </c>
      <c r="I5">
        <v>6</v>
      </c>
    </row>
    <row r="6" spans="1:9" x14ac:dyDescent="0.3">
      <c r="A6" t="s">
        <v>21</v>
      </c>
      <c r="B6" s="1">
        <v>46113</v>
      </c>
      <c r="C6" t="s">
        <v>22</v>
      </c>
      <c r="D6" t="s">
        <v>23</v>
      </c>
      <c r="E6" t="s">
        <v>24</v>
      </c>
      <c r="F6">
        <v>96.8</v>
      </c>
      <c r="G6">
        <v>3120.75</v>
      </c>
      <c r="H6">
        <v>230</v>
      </c>
      <c r="I6">
        <v>5</v>
      </c>
    </row>
    <row r="7" spans="1:9" x14ac:dyDescent="0.3">
      <c r="A7" t="s">
        <v>25</v>
      </c>
      <c r="B7" s="1">
        <v>46113</v>
      </c>
      <c r="C7" t="s">
        <v>26</v>
      </c>
      <c r="D7" t="s">
        <v>23</v>
      </c>
      <c r="E7" t="s">
        <v>24</v>
      </c>
      <c r="F7">
        <v>95.3</v>
      </c>
      <c r="G7">
        <v>1980.5</v>
      </c>
      <c r="H7">
        <v>160</v>
      </c>
      <c r="I7">
        <v>5</v>
      </c>
    </row>
    <row r="8" spans="1:9" x14ac:dyDescent="0.3">
      <c r="A8" t="s">
        <v>27</v>
      </c>
      <c r="B8" s="1">
        <v>46114</v>
      </c>
      <c r="C8" t="s">
        <v>10</v>
      </c>
      <c r="D8" t="s">
        <v>28</v>
      </c>
      <c r="E8" t="s">
        <v>29</v>
      </c>
      <c r="F8">
        <v>88.4</v>
      </c>
      <c r="G8">
        <v>980</v>
      </c>
      <c r="H8">
        <v>85</v>
      </c>
      <c r="I8">
        <v>3</v>
      </c>
    </row>
    <row r="9" spans="1:9" x14ac:dyDescent="0.3">
      <c r="A9" t="s">
        <v>30</v>
      </c>
      <c r="B9" s="1">
        <v>46114</v>
      </c>
      <c r="C9" t="s">
        <v>14</v>
      </c>
      <c r="D9" t="s">
        <v>28</v>
      </c>
      <c r="E9" t="s">
        <v>29</v>
      </c>
      <c r="F9">
        <v>90.2</v>
      </c>
      <c r="G9">
        <v>1240.25</v>
      </c>
      <c r="H9">
        <v>115</v>
      </c>
      <c r="I9">
        <v>3</v>
      </c>
    </row>
    <row r="10" spans="1:9" x14ac:dyDescent="0.3">
      <c r="A10" t="s">
        <v>31</v>
      </c>
      <c r="B10" s="1">
        <v>46114</v>
      </c>
      <c r="C10" t="s">
        <v>16</v>
      </c>
      <c r="D10" t="s">
        <v>32</v>
      </c>
      <c r="E10" t="s">
        <v>33</v>
      </c>
      <c r="F10">
        <v>93.7</v>
      </c>
      <c r="G10">
        <v>1750.5</v>
      </c>
      <c r="H10">
        <v>140</v>
      </c>
      <c r="I10">
        <v>4</v>
      </c>
    </row>
    <row r="11" spans="1:9" x14ac:dyDescent="0.3">
      <c r="A11" t="s">
        <v>34</v>
      </c>
      <c r="B11" s="1">
        <v>46114</v>
      </c>
      <c r="C11" t="s">
        <v>20</v>
      </c>
      <c r="D11" t="s">
        <v>32</v>
      </c>
      <c r="E11" t="s">
        <v>33</v>
      </c>
      <c r="F11">
        <v>94.1</v>
      </c>
      <c r="G11">
        <v>2100</v>
      </c>
      <c r="H11">
        <v>165</v>
      </c>
      <c r="I11">
        <v>4</v>
      </c>
    </row>
    <row r="12" spans="1:9" x14ac:dyDescent="0.3">
      <c r="A12" t="s">
        <v>35</v>
      </c>
      <c r="B12" s="1">
        <v>46114</v>
      </c>
      <c r="C12" t="s">
        <v>22</v>
      </c>
      <c r="D12" t="s">
        <v>23</v>
      </c>
      <c r="E12" t="s">
        <v>24</v>
      </c>
      <c r="F12">
        <v>97.2</v>
      </c>
      <c r="G12">
        <v>3340.5</v>
      </c>
      <c r="H12">
        <v>225</v>
      </c>
      <c r="I12">
        <v>5</v>
      </c>
    </row>
    <row r="13" spans="1:9" x14ac:dyDescent="0.3">
      <c r="A13" t="s">
        <v>36</v>
      </c>
      <c r="B13" s="1">
        <v>46114</v>
      </c>
      <c r="C13" t="s">
        <v>26</v>
      </c>
      <c r="D13" t="s">
        <v>23</v>
      </c>
      <c r="E13" t="s">
        <v>24</v>
      </c>
      <c r="F13">
        <v>96</v>
      </c>
      <c r="G13">
        <v>2210</v>
      </c>
      <c r="H13">
        <v>170</v>
      </c>
      <c r="I13">
        <v>5</v>
      </c>
    </row>
    <row r="14" spans="1:9" x14ac:dyDescent="0.3">
      <c r="A14" t="s">
        <v>37</v>
      </c>
      <c r="B14" s="1">
        <v>46115</v>
      </c>
      <c r="C14" t="s">
        <v>10</v>
      </c>
      <c r="D14" t="s">
        <v>11</v>
      </c>
      <c r="E14" t="s">
        <v>12</v>
      </c>
      <c r="F14">
        <v>93</v>
      </c>
      <c r="G14">
        <v>1680.75</v>
      </c>
      <c r="H14">
        <v>130</v>
      </c>
      <c r="I14">
        <v>4</v>
      </c>
    </row>
    <row r="15" spans="1:9" x14ac:dyDescent="0.3">
      <c r="A15" t="s">
        <v>38</v>
      </c>
      <c r="B15" s="1">
        <v>46115</v>
      </c>
      <c r="C15" t="s">
        <v>14</v>
      </c>
      <c r="D15" t="s">
        <v>11</v>
      </c>
      <c r="E15" t="s">
        <v>12</v>
      </c>
      <c r="F15">
        <v>95.4</v>
      </c>
      <c r="G15">
        <v>2240</v>
      </c>
      <c r="H15">
        <v>175</v>
      </c>
      <c r="I15">
        <v>5</v>
      </c>
    </row>
    <row r="16" spans="1:9" x14ac:dyDescent="0.3">
      <c r="A16" t="s">
        <v>39</v>
      </c>
      <c r="B16" s="1">
        <v>46115</v>
      </c>
      <c r="C16" t="s">
        <v>16</v>
      </c>
      <c r="D16" t="s">
        <v>17</v>
      </c>
      <c r="E16" t="s">
        <v>18</v>
      </c>
      <c r="F16">
        <v>99.6</v>
      </c>
      <c r="G16">
        <v>3480.5</v>
      </c>
      <c r="H16">
        <v>260</v>
      </c>
      <c r="I16">
        <v>7</v>
      </c>
    </row>
    <row r="17" spans="1:9" x14ac:dyDescent="0.3">
      <c r="A17" t="s">
        <v>40</v>
      </c>
      <c r="B17" s="1">
        <v>46115</v>
      </c>
      <c r="C17" t="s">
        <v>20</v>
      </c>
      <c r="D17" t="s">
        <v>17</v>
      </c>
      <c r="E17" t="s">
        <v>18</v>
      </c>
      <c r="F17">
        <v>102.1</v>
      </c>
      <c r="G17">
        <v>4250</v>
      </c>
      <c r="H17">
        <v>310</v>
      </c>
      <c r="I17">
        <v>7</v>
      </c>
    </row>
    <row r="18" spans="1:9" x14ac:dyDescent="0.3">
      <c r="A18" t="s">
        <v>41</v>
      </c>
      <c r="B18" s="1">
        <v>46115</v>
      </c>
      <c r="C18" t="s">
        <v>22</v>
      </c>
      <c r="D18" t="s">
        <v>42</v>
      </c>
      <c r="E18" t="s">
        <v>43</v>
      </c>
      <c r="F18">
        <v>97.5</v>
      </c>
      <c r="G18">
        <v>3890.25</v>
      </c>
      <c r="H18">
        <v>290</v>
      </c>
      <c r="I18">
        <v>6</v>
      </c>
    </row>
    <row r="19" spans="1:9" x14ac:dyDescent="0.3">
      <c r="A19" t="s">
        <v>44</v>
      </c>
      <c r="B19" s="1">
        <v>46115</v>
      </c>
      <c r="C19" t="s">
        <v>26</v>
      </c>
      <c r="D19" t="s">
        <v>42</v>
      </c>
      <c r="E19" t="s">
        <v>43</v>
      </c>
      <c r="F19">
        <v>96.2</v>
      </c>
      <c r="G19">
        <v>2640</v>
      </c>
      <c r="H19">
        <v>195</v>
      </c>
      <c r="I19">
        <v>6</v>
      </c>
    </row>
    <row r="20" spans="1:9" x14ac:dyDescent="0.3">
      <c r="A20" t="s">
        <v>45</v>
      </c>
      <c r="B20" s="1">
        <v>46116</v>
      </c>
      <c r="C20" t="s">
        <v>10</v>
      </c>
      <c r="D20" t="s">
        <v>11</v>
      </c>
      <c r="E20" t="s">
        <v>12</v>
      </c>
      <c r="F20">
        <v>93.5</v>
      </c>
      <c r="G20">
        <v>1950</v>
      </c>
      <c r="H20">
        <v>150</v>
      </c>
      <c r="I20">
        <v>5</v>
      </c>
    </row>
    <row r="21" spans="1:9" x14ac:dyDescent="0.3">
      <c r="A21" t="s">
        <v>46</v>
      </c>
      <c r="B21" s="1">
        <v>46116</v>
      </c>
      <c r="C21" t="s">
        <v>14</v>
      </c>
      <c r="D21" t="s">
        <v>11</v>
      </c>
      <c r="E21" t="s">
        <v>12</v>
      </c>
      <c r="F21">
        <v>95.1</v>
      </c>
      <c r="G21">
        <v>2600.5</v>
      </c>
      <c r="H21">
        <v>190</v>
      </c>
      <c r="I21">
        <v>5</v>
      </c>
    </row>
    <row r="22" spans="1:9" x14ac:dyDescent="0.3">
      <c r="A22" t="s">
        <v>47</v>
      </c>
      <c r="B22" s="1">
        <v>46116</v>
      </c>
      <c r="C22" t="s">
        <v>16</v>
      </c>
      <c r="D22" t="s">
        <v>17</v>
      </c>
      <c r="E22" t="s">
        <v>18</v>
      </c>
      <c r="F22">
        <v>100.3</v>
      </c>
      <c r="G22">
        <v>4100.75</v>
      </c>
      <c r="H22">
        <v>295</v>
      </c>
      <c r="I22">
        <v>8</v>
      </c>
    </row>
    <row r="23" spans="1:9" x14ac:dyDescent="0.3">
      <c r="A23" t="s">
        <v>48</v>
      </c>
      <c r="B23" s="1">
        <v>46116</v>
      </c>
      <c r="C23" t="s">
        <v>20</v>
      </c>
      <c r="D23" t="s">
        <v>17</v>
      </c>
      <c r="E23" t="s">
        <v>18</v>
      </c>
      <c r="F23">
        <v>103.5</v>
      </c>
      <c r="G23">
        <v>4980</v>
      </c>
      <c r="H23">
        <v>350</v>
      </c>
      <c r="I23">
        <v>8</v>
      </c>
    </row>
    <row r="24" spans="1:9" x14ac:dyDescent="0.3">
      <c r="A24" t="s">
        <v>49</v>
      </c>
      <c r="B24" s="1">
        <v>46116</v>
      </c>
      <c r="C24" t="s">
        <v>22</v>
      </c>
      <c r="D24" t="s">
        <v>23</v>
      </c>
      <c r="E24" t="s">
        <v>24</v>
      </c>
      <c r="F24">
        <v>98</v>
      </c>
      <c r="G24">
        <v>4320.5</v>
      </c>
      <c r="H24">
        <v>315</v>
      </c>
      <c r="I24">
        <v>7</v>
      </c>
    </row>
    <row r="25" spans="1:9" x14ac:dyDescent="0.3">
      <c r="A25" t="s">
        <v>50</v>
      </c>
      <c r="B25" s="1">
        <v>46116</v>
      </c>
      <c r="C25" t="s">
        <v>26</v>
      </c>
      <c r="D25" t="s">
        <v>23</v>
      </c>
      <c r="E25" t="s">
        <v>24</v>
      </c>
      <c r="F25">
        <v>96.6</v>
      </c>
      <c r="G25">
        <v>2950</v>
      </c>
      <c r="H25">
        <v>215</v>
      </c>
      <c r="I25">
        <v>7</v>
      </c>
    </row>
    <row r="26" spans="1:9" x14ac:dyDescent="0.3">
      <c r="A26" t="s">
        <v>51</v>
      </c>
      <c r="B26" s="1">
        <v>46120</v>
      </c>
      <c r="C26" t="s">
        <v>10</v>
      </c>
      <c r="D26" t="s">
        <v>28</v>
      </c>
      <c r="E26" t="s">
        <v>29</v>
      </c>
      <c r="F26">
        <v>89.1</v>
      </c>
      <c r="G26">
        <v>1050.5</v>
      </c>
      <c r="H26">
        <v>90</v>
      </c>
      <c r="I26">
        <v>3</v>
      </c>
    </row>
    <row r="27" spans="1:9" x14ac:dyDescent="0.3">
      <c r="A27" t="s">
        <v>52</v>
      </c>
      <c r="B27" s="1">
        <v>46120</v>
      </c>
      <c r="C27" t="s">
        <v>14</v>
      </c>
      <c r="D27" t="s">
        <v>28</v>
      </c>
      <c r="E27" t="s">
        <v>29</v>
      </c>
      <c r="F27">
        <v>91</v>
      </c>
      <c r="G27">
        <v>1310</v>
      </c>
      <c r="H27">
        <v>120</v>
      </c>
      <c r="I27">
        <v>3</v>
      </c>
    </row>
    <row r="28" spans="1:9" x14ac:dyDescent="0.3">
      <c r="A28" t="s">
        <v>53</v>
      </c>
      <c r="B28" s="1">
        <v>46120</v>
      </c>
      <c r="C28" t="s">
        <v>16</v>
      </c>
      <c r="D28" t="s">
        <v>32</v>
      </c>
      <c r="E28" t="s">
        <v>33</v>
      </c>
      <c r="F28">
        <v>93.2</v>
      </c>
      <c r="G28">
        <v>1680.25</v>
      </c>
      <c r="H28">
        <v>135</v>
      </c>
      <c r="I28">
        <v>4</v>
      </c>
    </row>
    <row r="29" spans="1:9" x14ac:dyDescent="0.3">
      <c r="A29" t="s">
        <v>54</v>
      </c>
      <c r="B29" s="1">
        <v>46120</v>
      </c>
      <c r="C29" t="s">
        <v>20</v>
      </c>
      <c r="D29" t="s">
        <v>32</v>
      </c>
      <c r="E29" t="s">
        <v>33</v>
      </c>
      <c r="F29">
        <v>94.6</v>
      </c>
      <c r="G29">
        <v>1980.5</v>
      </c>
      <c r="H29">
        <v>155</v>
      </c>
      <c r="I29">
        <v>4</v>
      </c>
    </row>
    <row r="30" spans="1:9" x14ac:dyDescent="0.3">
      <c r="A30" t="s">
        <v>55</v>
      </c>
      <c r="B30" s="1">
        <v>46120</v>
      </c>
      <c r="C30" t="s">
        <v>22</v>
      </c>
      <c r="D30" t="s">
        <v>42</v>
      </c>
      <c r="E30" t="s">
        <v>43</v>
      </c>
      <c r="F30">
        <v>96.4</v>
      </c>
      <c r="G30">
        <v>2840</v>
      </c>
      <c r="H30">
        <v>205</v>
      </c>
      <c r="I30">
        <v>5</v>
      </c>
    </row>
    <row r="31" spans="1:9" x14ac:dyDescent="0.3">
      <c r="A31" t="s">
        <v>56</v>
      </c>
      <c r="B31" s="1">
        <v>46120</v>
      </c>
      <c r="C31" t="s">
        <v>26</v>
      </c>
      <c r="D31" t="s">
        <v>42</v>
      </c>
      <c r="E31" t="s">
        <v>43</v>
      </c>
      <c r="F31">
        <v>95</v>
      </c>
      <c r="G31">
        <v>1820.25</v>
      </c>
      <c r="H31">
        <v>140</v>
      </c>
      <c r="I31">
        <v>5</v>
      </c>
    </row>
    <row r="32" spans="1:9" x14ac:dyDescent="0.3">
      <c r="A32" t="s">
        <v>57</v>
      </c>
      <c r="B32" s="1">
        <v>46121</v>
      </c>
      <c r="C32" t="s">
        <v>10</v>
      </c>
      <c r="D32" t="s">
        <v>28</v>
      </c>
      <c r="E32" t="s">
        <v>29</v>
      </c>
      <c r="F32">
        <v>88.7</v>
      </c>
      <c r="G32">
        <v>1120</v>
      </c>
      <c r="H32">
        <v>95</v>
      </c>
      <c r="I32">
        <v>3</v>
      </c>
    </row>
    <row r="33" spans="1:9" x14ac:dyDescent="0.3">
      <c r="A33" t="s">
        <v>58</v>
      </c>
      <c r="B33" s="1">
        <v>46121</v>
      </c>
      <c r="C33" t="s">
        <v>14</v>
      </c>
      <c r="D33" t="s">
        <v>28</v>
      </c>
      <c r="E33" t="s">
        <v>29</v>
      </c>
      <c r="F33">
        <v>90.5</v>
      </c>
      <c r="G33">
        <v>1450.5</v>
      </c>
      <c r="H33">
        <v>125</v>
      </c>
      <c r="I33">
        <v>3</v>
      </c>
    </row>
    <row r="34" spans="1:9" x14ac:dyDescent="0.3">
      <c r="A34" t="s">
        <v>59</v>
      </c>
      <c r="B34" s="1">
        <v>46121</v>
      </c>
      <c r="C34" t="s">
        <v>16</v>
      </c>
      <c r="D34" t="s">
        <v>11</v>
      </c>
      <c r="E34" t="s">
        <v>12</v>
      </c>
      <c r="F34">
        <v>94</v>
      </c>
      <c r="G34">
        <v>2100.25</v>
      </c>
      <c r="H34">
        <v>160</v>
      </c>
      <c r="I34">
        <v>4</v>
      </c>
    </row>
    <row r="35" spans="1:9" x14ac:dyDescent="0.3">
      <c r="A35" t="s">
        <v>60</v>
      </c>
      <c r="B35" s="1">
        <v>46121</v>
      </c>
      <c r="C35" t="s">
        <v>20</v>
      </c>
      <c r="D35" t="s">
        <v>11</v>
      </c>
      <c r="E35" t="s">
        <v>12</v>
      </c>
      <c r="F35">
        <v>95.8</v>
      </c>
      <c r="G35">
        <v>2550</v>
      </c>
      <c r="H35">
        <v>185</v>
      </c>
      <c r="I35">
        <v>4</v>
      </c>
    </row>
    <row r="36" spans="1:9" x14ac:dyDescent="0.3">
      <c r="A36" t="s">
        <v>61</v>
      </c>
      <c r="B36" s="1">
        <v>46121</v>
      </c>
      <c r="C36" t="s">
        <v>22</v>
      </c>
      <c r="D36" t="s">
        <v>23</v>
      </c>
      <c r="E36" t="s">
        <v>24</v>
      </c>
      <c r="F36">
        <v>97.7</v>
      </c>
      <c r="G36">
        <v>3410.5</v>
      </c>
      <c r="H36">
        <v>230</v>
      </c>
      <c r="I36">
        <v>5</v>
      </c>
    </row>
    <row r="37" spans="1:9" x14ac:dyDescent="0.3">
      <c r="A37" t="s">
        <v>62</v>
      </c>
      <c r="B37" s="1">
        <v>46121</v>
      </c>
      <c r="C37" t="s">
        <v>26</v>
      </c>
      <c r="D37" t="s">
        <v>23</v>
      </c>
      <c r="E37" t="s">
        <v>24</v>
      </c>
      <c r="F37">
        <v>95.9</v>
      </c>
      <c r="G37">
        <v>2150</v>
      </c>
      <c r="H37">
        <v>155</v>
      </c>
      <c r="I37">
        <v>5</v>
      </c>
    </row>
    <row r="38" spans="1:9" x14ac:dyDescent="0.3">
      <c r="A38" t="s">
        <v>63</v>
      </c>
      <c r="B38" s="1">
        <v>46122</v>
      </c>
      <c r="C38" t="s">
        <v>10</v>
      </c>
      <c r="D38" t="s">
        <v>11</v>
      </c>
      <c r="E38" t="s">
        <v>12</v>
      </c>
      <c r="F38">
        <v>92.8</v>
      </c>
      <c r="G38">
        <v>1750.5</v>
      </c>
      <c r="H38">
        <v>135</v>
      </c>
      <c r="I38">
        <v>4</v>
      </c>
    </row>
    <row r="39" spans="1:9" x14ac:dyDescent="0.3">
      <c r="A39" t="s">
        <v>64</v>
      </c>
      <c r="B39" s="1">
        <v>46122</v>
      </c>
      <c r="C39" t="s">
        <v>14</v>
      </c>
      <c r="D39" t="s">
        <v>11</v>
      </c>
      <c r="E39" t="s">
        <v>12</v>
      </c>
      <c r="F39">
        <v>94.9</v>
      </c>
      <c r="G39">
        <v>2380</v>
      </c>
      <c r="H39">
        <v>180</v>
      </c>
      <c r="I39">
        <v>5</v>
      </c>
    </row>
    <row r="40" spans="1:9" x14ac:dyDescent="0.3">
      <c r="A40" t="s">
        <v>65</v>
      </c>
      <c r="B40" s="1">
        <v>46122</v>
      </c>
      <c r="C40" t="s">
        <v>16</v>
      </c>
      <c r="D40" t="s">
        <v>17</v>
      </c>
      <c r="E40" t="s">
        <v>18</v>
      </c>
      <c r="F40">
        <v>100.1</v>
      </c>
      <c r="G40">
        <v>3650.5</v>
      </c>
      <c r="H40">
        <v>270</v>
      </c>
      <c r="I40">
        <v>7</v>
      </c>
    </row>
    <row r="41" spans="1:9" x14ac:dyDescent="0.3">
      <c r="A41" t="s">
        <v>66</v>
      </c>
      <c r="B41" s="1">
        <v>46122</v>
      </c>
      <c r="C41" t="s">
        <v>20</v>
      </c>
      <c r="D41" t="s">
        <v>17</v>
      </c>
      <c r="E41" t="s">
        <v>18</v>
      </c>
      <c r="F41">
        <v>102.6</v>
      </c>
      <c r="G41">
        <v>4410.25</v>
      </c>
      <c r="H41">
        <v>320</v>
      </c>
      <c r="I41">
        <v>7</v>
      </c>
    </row>
    <row r="42" spans="1:9" x14ac:dyDescent="0.3">
      <c r="A42" t="s">
        <v>67</v>
      </c>
      <c r="B42" s="1">
        <v>46122</v>
      </c>
      <c r="C42" t="s">
        <v>22</v>
      </c>
      <c r="D42" t="s">
        <v>42</v>
      </c>
      <c r="E42" t="s">
        <v>43</v>
      </c>
      <c r="F42">
        <v>97.3</v>
      </c>
      <c r="G42">
        <v>3950</v>
      </c>
      <c r="H42">
        <v>295</v>
      </c>
      <c r="I42">
        <v>6</v>
      </c>
    </row>
    <row r="43" spans="1:9" x14ac:dyDescent="0.3">
      <c r="A43" t="s">
        <v>68</v>
      </c>
      <c r="B43" s="1">
        <v>46122</v>
      </c>
      <c r="C43" t="s">
        <v>26</v>
      </c>
      <c r="D43" t="s">
        <v>42</v>
      </c>
      <c r="E43" t="s">
        <v>43</v>
      </c>
      <c r="F43">
        <v>95.8</v>
      </c>
      <c r="G43">
        <v>2710.5</v>
      </c>
      <c r="H43">
        <v>200</v>
      </c>
      <c r="I43">
        <v>6</v>
      </c>
    </row>
    <row r="44" spans="1:9" x14ac:dyDescent="0.3">
      <c r="A44" t="s">
        <v>69</v>
      </c>
      <c r="B44" s="1">
        <v>46123</v>
      </c>
      <c r="C44" t="s">
        <v>10</v>
      </c>
      <c r="D44" t="s">
        <v>11</v>
      </c>
      <c r="E44" t="s">
        <v>12</v>
      </c>
      <c r="F44">
        <v>93.2</v>
      </c>
      <c r="G44">
        <v>2100</v>
      </c>
      <c r="H44">
        <v>155</v>
      </c>
      <c r="I44">
        <v>5</v>
      </c>
    </row>
    <row r="45" spans="1:9" x14ac:dyDescent="0.3">
      <c r="A45" t="s">
        <v>70</v>
      </c>
      <c r="B45" s="1">
        <v>46123</v>
      </c>
      <c r="C45" t="s">
        <v>14</v>
      </c>
      <c r="D45" t="s">
        <v>11</v>
      </c>
      <c r="E45" t="s">
        <v>12</v>
      </c>
      <c r="F45">
        <v>95.6</v>
      </c>
      <c r="G45">
        <v>2850.25</v>
      </c>
      <c r="H45">
        <v>200</v>
      </c>
      <c r="I45">
        <v>5</v>
      </c>
    </row>
    <row r="46" spans="1:9" x14ac:dyDescent="0.3">
      <c r="A46" t="s">
        <v>71</v>
      </c>
      <c r="B46" s="1">
        <v>46123</v>
      </c>
      <c r="C46" t="s">
        <v>16</v>
      </c>
      <c r="D46" t="s">
        <v>17</v>
      </c>
      <c r="E46" t="s">
        <v>18</v>
      </c>
      <c r="F46">
        <v>100.9</v>
      </c>
      <c r="G46">
        <v>4350.5</v>
      </c>
      <c r="H46">
        <v>305</v>
      </c>
      <c r="I46">
        <v>8</v>
      </c>
    </row>
    <row r="47" spans="1:9" x14ac:dyDescent="0.3">
      <c r="A47" t="s">
        <v>72</v>
      </c>
      <c r="B47" s="1">
        <v>46123</v>
      </c>
      <c r="C47" t="s">
        <v>20</v>
      </c>
      <c r="D47" t="s">
        <v>17</v>
      </c>
      <c r="E47" t="s">
        <v>18</v>
      </c>
      <c r="F47">
        <v>103.8</v>
      </c>
      <c r="G47">
        <v>5120</v>
      </c>
      <c r="H47">
        <v>365</v>
      </c>
      <c r="I47">
        <v>8</v>
      </c>
    </row>
    <row r="48" spans="1:9" x14ac:dyDescent="0.3">
      <c r="A48" t="s">
        <v>73</v>
      </c>
      <c r="B48" s="1">
        <v>46123</v>
      </c>
      <c r="C48" t="s">
        <v>22</v>
      </c>
      <c r="D48" t="s">
        <v>23</v>
      </c>
      <c r="E48" t="s">
        <v>24</v>
      </c>
      <c r="F48">
        <v>98.4</v>
      </c>
      <c r="G48">
        <v>4510.75</v>
      </c>
      <c r="H48">
        <v>325</v>
      </c>
      <c r="I48">
        <v>7</v>
      </c>
    </row>
    <row r="49" spans="1:9" x14ac:dyDescent="0.3">
      <c r="A49" t="s">
        <v>74</v>
      </c>
      <c r="B49" s="1">
        <v>46123</v>
      </c>
      <c r="C49" t="s">
        <v>26</v>
      </c>
      <c r="D49" t="s">
        <v>23</v>
      </c>
      <c r="E49" t="s">
        <v>24</v>
      </c>
      <c r="F49">
        <v>96.9</v>
      </c>
      <c r="G49">
        <v>3100</v>
      </c>
      <c r="H49">
        <v>220</v>
      </c>
      <c r="I49">
        <v>7</v>
      </c>
    </row>
    <row r="50" spans="1:9" x14ac:dyDescent="0.3">
      <c r="A50" t="s">
        <v>75</v>
      </c>
      <c r="B50" s="1">
        <v>46127</v>
      </c>
      <c r="C50" t="s">
        <v>10</v>
      </c>
      <c r="D50" t="s">
        <v>28</v>
      </c>
      <c r="E50" t="s">
        <v>29</v>
      </c>
      <c r="F50">
        <v>88.2</v>
      </c>
      <c r="G50">
        <v>950</v>
      </c>
      <c r="H50">
        <v>80</v>
      </c>
      <c r="I50">
        <v>3</v>
      </c>
    </row>
    <row r="51" spans="1:9" x14ac:dyDescent="0.3">
      <c r="A51" t="s">
        <v>76</v>
      </c>
      <c r="B51" s="1">
        <v>46127</v>
      </c>
      <c r="C51" t="s">
        <v>14</v>
      </c>
      <c r="D51" t="s">
        <v>28</v>
      </c>
      <c r="E51" t="s">
        <v>29</v>
      </c>
      <c r="F51">
        <v>90.1</v>
      </c>
      <c r="G51">
        <v>1200.5</v>
      </c>
      <c r="H51">
        <v>110</v>
      </c>
      <c r="I51">
        <v>3</v>
      </c>
    </row>
    <row r="52" spans="1:9" x14ac:dyDescent="0.3">
      <c r="A52" t="s">
        <v>77</v>
      </c>
      <c r="B52" s="1">
        <v>46127</v>
      </c>
      <c r="C52" t="s">
        <v>16</v>
      </c>
      <c r="D52" t="s">
        <v>32</v>
      </c>
      <c r="E52" t="s">
        <v>33</v>
      </c>
      <c r="F52">
        <v>93</v>
      </c>
      <c r="G52">
        <v>1590</v>
      </c>
      <c r="H52">
        <v>125</v>
      </c>
      <c r="I52">
        <v>4</v>
      </c>
    </row>
    <row r="53" spans="1:9" x14ac:dyDescent="0.3">
      <c r="A53" t="s">
        <v>78</v>
      </c>
      <c r="B53" s="1">
        <v>46127</v>
      </c>
      <c r="C53" t="s">
        <v>20</v>
      </c>
      <c r="D53" t="s">
        <v>32</v>
      </c>
      <c r="E53" t="s">
        <v>33</v>
      </c>
      <c r="F53">
        <v>94.2</v>
      </c>
      <c r="G53">
        <v>1850.25</v>
      </c>
      <c r="H53">
        <v>145</v>
      </c>
      <c r="I53">
        <v>4</v>
      </c>
    </row>
    <row r="54" spans="1:9" x14ac:dyDescent="0.3">
      <c r="A54" t="s">
        <v>79</v>
      </c>
      <c r="B54" s="1">
        <v>46127</v>
      </c>
      <c r="C54" t="s">
        <v>22</v>
      </c>
      <c r="D54" t="s">
        <v>42</v>
      </c>
      <c r="E54" t="s">
        <v>43</v>
      </c>
      <c r="F54">
        <v>96.1</v>
      </c>
      <c r="G54">
        <v>2650.5</v>
      </c>
      <c r="H54">
        <v>190</v>
      </c>
      <c r="I54">
        <v>5</v>
      </c>
    </row>
    <row r="55" spans="1:9" x14ac:dyDescent="0.3">
      <c r="A55" t="s">
        <v>80</v>
      </c>
      <c r="B55" s="1">
        <v>46127</v>
      </c>
      <c r="C55" t="s">
        <v>26</v>
      </c>
      <c r="D55" t="s">
        <v>42</v>
      </c>
      <c r="E55" t="s">
        <v>43</v>
      </c>
      <c r="F55">
        <v>94.8</v>
      </c>
      <c r="G55">
        <v>1710</v>
      </c>
      <c r="H55">
        <v>130</v>
      </c>
      <c r="I55">
        <v>5</v>
      </c>
    </row>
    <row r="56" spans="1:9" x14ac:dyDescent="0.3">
      <c r="A56" t="s">
        <v>81</v>
      </c>
      <c r="B56" s="1">
        <v>46128</v>
      </c>
      <c r="C56" t="s">
        <v>10</v>
      </c>
      <c r="D56" t="s">
        <v>28</v>
      </c>
      <c r="E56" t="s">
        <v>29</v>
      </c>
      <c r="F56">
        <v>88.5</v>
      </c>
      <c r="G56">
        <v>1080.25</v>
      </c>
      <c r="H56">
        <v>90</v>
      </c>
      <c r="I56">
        <v>3</v>
      </c>
    </row>
    <row r="57" spans="1:9" x14ac:dyDescent="0.3">
      <c r="A57" t="s">
        <v>82</v>
      </c>
      <c r="B57" s="1">
        <v>46128</v>
      </c>
      <c r="C57" t="s">
        <v>14</v>
      </c>
      <c r="D57" t="s">
        <v>28</v>
      </c>
      <c r="E57" t="s">
        <v>29</v>
      </c>
      <c r="F57">
        <v>90.8</v>
      </c>
      <c r="G57">
        <v>1380</v>
      </c>
      <c r="H57">
        <v>120</v>
      </c>
      <c r="I57">
        <v>3</v>
      </c>
    </row>
    <row r="58" spans="1:9" x14ac:dyDescent="0.3">
      <c r="A58" t="s">
        <v>83</v>
      </c>
      <c r="B58" s="1">
        <v>46128</v>
      </c>
      <c r="C58" t="s">
        <v>16</v>
      </c>
      <c r="D58" t="s">
        <v>11</v>
      </c>
      <c r="E58" t="s">
        <v>12</v>
      </c>
      <c r="F58">
        <v>94.3</v>
      </c>
      <c r="G58">
        <v>2220.5</v>
      </c>
      <c r="H58">
        <v>165</v>
      </c>
      <c r="I58">
        <v>4</v>
      </c>
    </row>
    <row r="59" spans="1:9" x14ac:dyDescent="0.3">
      <c r="A59" t="s">
        <v>84</v>
      </c>
      <c r="B59" s="1">
        <v>46128</v>
      </c>
      <c r="C59" t="s">
        <v>20</v>
      </c>
      <c r="D59" t="s">
        <v>11</v>
      </c>
      <c r="E59" t="s">
        <v>12</v>
      </c>
      <c r="F59">
        <v>96.1</v>
      </c>
      <c r="G59">
        <v>2680</v>
      </c>
      <c r="H59">
        <v>195</v>
      </c>
      <c r="I59">
        <v>4</v>
      </c>
    </row>
    <row r="60" spans="1:9" x14ac:dyDescent="0.3">
      <c r="A60" t="s">
        <v>85</v>
      </c>
      <c r="B60" s="1">
        <v>46128</v>
      </c>
      <c r="C60" t="s">
        <v>22</v>
      </c>
      <c r="D60" t="s">
        <v>23</v>
      </c>
      <c r="E60" t="s">
        <v>24</v>
      </c>
      <c r="F60">
        <v>97.5</v>
      </c>
      <c r="G60">
        <v>3550.25</v>
      </c>
      <c r="H60">
        <v>240</v>
      </c>
      <c r="I60">
        <v>5</v>
      </c>
    </row>
    <row r="61" spans="1:9" x14ac:dyDescent="0.3">
      <c r="A61" t="s">
        <v>86</v>
      </c>
      <c r="B61" s="1">
        <v>46128</v>
      </c>
      <c r="C61" t="s">
        <v>26</v>
      </c>
      <c r="D61" t="s">
        <v>23</v>
      </c>
      <c r="E61" t="s">
        <v>24</v>
      </c>
      <c r="F61">
        <v>95.5</v>
      </c>
      <c r="G61">
        <v>2280</v>
      </c>
      <c r="H61">
        <v>160</v>
      </c>
      <c r="I61">
        <v>5</v>
      </c>
    </row>
    <row r="62" spans="1:9" x14ac:dyDescent="0.3">
      <c r="A62" t="s">
        <v>87</v>
      </c>
      <c r="B62" s="1">
        <v>46129</v>
      </c>
      <c r="C62" t="s">
        <v>10</v>
      </c>
      <c r="D62" t="s">
        <v>11</v>
      </c>
      <c r="E62" t="s">
        <v>12</v>
      </c>
      <c r="F62">
        <v>93.1</v>
      </c>
      <c r="G62">
        <v>1820</v>
      </c>
      <c r="H62">
        <v>140</v>
      </c>
      <c r="I62">
        <v>4</v>
      </c>
    </row>
    <row r="63" spans="1:9" x14ac:dyDescent="0.3">
      <c r="A63" t="s">
        <v>88</v>
      </c>
      <c r="B63" s="1">
        <v>46129</v>
      </c>
      <c r="C63" t="s">
        <v>14</v>
      </c>
      <c r="D63" t="s">
        <v>11</v>
      </c>
      <c r="E63" t="s">
        <v>12</v>
      </c>
      <c r="F63">
        <v>95.2</v>
      </c>
      <c r="G63">
        <v>2450.5</v>
      </c>
      <c r="H63">
        <v>185</v>
      </c>
      <c r="I63">
        <v>5</v>
      </c>
    </row>
    <row r="64" spans="1:9" x14ac:dyDescent="0.3">
      <c r="A64" t="s">
        <v>89</v>
      </c>
      <c r="B64" s="1">
        <v>46129</v>
      </c>
      <c r="C64" t="s">
        <v>16</v>
      </c>
      <c r="D64" t="s">
        <v>17</v>
      </c>
      <c r="E64" t="s">
        <v>18</v>
      </c>
      <c r="F64">
        <v>99.8</v>
      </c>
      <c r="G64">
        <v>3720</v>
      </c>
      <c r="H64">
        <v>275</v>
      </c>
      <c r="I64">
        <v>7</v>
      </c>
    </row>
    <row r="65" spans="1:9" x14ac:dyDescent="0.3">
      <c r="A65" t="s">
        <v>90</v>
      </c>
      <c r="B65" s="1">
        <v>46129</v>
      </c>
      <c r="C65" t="s">
        <v>20</v>
      </c>
      <c r="D65" t="s">
        <v>17</v>
      </c>
      <c r="E65" t="s">
        <v>18</v>
      </c>
      <c r="F65">
        <v>102.3</v>
      </c>
      <c r="G65">
        <v>4550.75</v>
      </c>
      <c r="H65">
        <v>330</v>
      </c>
      <c r="I65">
        <v>7</v>
      </c>
    </row>
    <row r="66" spans="1:9" x14ac:dyDescent="0.3">
      <c r="A66" t="s">
        <v>91</v>
      </c>
      <c r="B66" s="1">
        <v>46129</v>
      </c>
      <c r="C66" t="s">
        <v>22</v>
      </c>
      <c r="D66" t="s">
        <v>42</v>
      </c>
      <c r="E66" t="s">
        <v>43</v>
      </c>
      <c r="F66">
        <v>97.1</v>
      </c>
      <c r="G66">
        <v>4120</v>
      </c>
      <c r="H66">
        <v>305</v>
      </c>
      <c r="I66">
        <v>6</v>
      </c>
    </row>
    <row r="67" spans="1:9" x14ac:dyDescent="0.3">
      <c r="A67" t="s">
        <v>92</v>
      </c>
      <c r="B67" s="1">
        <v>46129</v>
      </c>
      <c r="C67" t="s">
        <v>26</v>
      </c>
      <c r="D67" t="s">
        <v>42</v>
      </c>
      <c r="E67" t="s">
        <v>43</v>
      </c>
      <c r="F67">
        <v>95.5</v>
      </c>
      <c r="G67">
        <v>2850.25</v>
      </c>
      <c r="H67">
        <v>210</v>
      </c>
      <c r="I67">
        <v>6</v>
      </c>
    </row>
    <row r="68" spans="1:9" x14ac:dyDescent="0.3">
      <c r="A68" t="s">
        <v>93</v>
      </c>
      <c r="B68" s="1">
        <v>46130</v>
      </c>
      <c r="C68" t="s">
        <v>10</v>
      </c>
      <c r="D68" t="s">
        <v>11</v>
      </c>
      <c r="E68" t="s">
        <v>12</v>
      </c>
      <c r="F68">
        <v>93.6</v>
      </c>
      <c r="G68">
        <v>2250.5</v>
      </c>
      <c r="H68">
        <v>165</v>
      </c>
      <c r="I68">
        <v>5</v>
      </c>
    </row>
    <row r="69" spans="1:9" x14ac:dyDescent="0.3">
      <c r="A69" t="s">
        <v>94</v>
      </c>
      <c r="B69" s="1">
        <v>46130</v>
      </c>
      <c r="C69" t="s">
        <v>14</v>
      </c>
      <c r="D69" t="s">
        <v>11</v>
      </c>
      <c r="E69" t="s">
        <v>12</v>
      </c>
      <c r="F69">
        <v>95.9</v>
      </c>
      <c r="G69">
        <v>2980</v>
      </c>
      <c r="H69">
        <v>210</v>
      </c>
      <c r="I69">
        <v>5</v>
      </c>
    </row>
    <row r="70" spans="1:9" x14ac:dyDescent="0.3">
      <c r="A70" t="s">
        <v>95</v>
      </c>
      <c r="B70" s="1">
        <v>46130</v>
      </c>
      <c r="C70" t="s">
        <v>16</v>
      </c>
      <c r="D70" t="s">
        <v>17</v>
      </c>
      <c r="E70" t="s">
        <v>18</v>
      </c>
      <c r="F70">
        <v>101.2</v>
      </c>
      <c r="G70">
        <v>4580.25</v>
      </c>
      <c r="H70">
        <v>320</v>
      </c>
      <c r="I70">
        <v>8</v>
      </c>
    </row>
    <row r="71" spans="1:9" x14ac:dyDescent="0.3">
      <c r="A71" t="s">
        <v>96</v>
      </c>
      <c r="B71" s="1">
        <v>46130</v>
      </c>
      <c r="C71" t="s">
        <v>20</v>
      </c>
      <c r="D71" t="s">
        <v>17</v>
      </c>
      <c r="E71" t="s">
        <v>18</v>
      </c>
      <c r="F71">
        <v>104.1</v>
      </c>
      <c r="G71">
        <v>5340.5</v>
      </c>
      <c r="H71">
        <v>380</v>
      </c>
      <c r="I71">
        <v>8</v>
      </c>
    </row>
    <row r="72" spans="1:9" x14ac:dyDescent="0.3">
      <c r="A72" t="s">
        <v>97</v>
      </c>
      <c r="B72" s="1">
        <v>46130</v>
      </c>
      <c r="C72" t="s">
        <v>22</v>
      </c>
      <c r="D72" t="s">
        <v>23</v>
      </c>
      <c r="E72" t="s">
        <v>24</v>
      </c>
      <c r="F72">
        <v>98.7</v>
      </c>
      <c r="G72">
        <v>4720</v>
      </c>
      <c r="H72">
        <v>340</v>
      </c>
      <c r="I72">
        <v>7</v>
      </c>
    </row>
    <row r="73" spans="1:9" x14ac:dyDescent="0.3">
      <c r="A73" t="s">
        <v>98</v>
      </c>
      <c r="B73" s="1">
        <v>46130</v>
      </c>
      <c r="C73" t="s">
        <v>26</v>
      </c>
      <c r="D73" t="s">
        <v>23</v>
      </c>
      <c r="E73" t="s">
        <v>24</v>
      </c>
      <c r="F73">
        <v>97.2</v>
      </c>
      <c r="G73">
        <v>3250.5</v>
      </c>
      <c r="H73">
        <v>230</v>
      </c>
      <c r="I73">
        <v>7</v>
      </c>
    </row>
    <row r="74" spans="1:9" x14ac:dyDescent="0.3">
      <c r="A74" t="s">
        <v>99</v>
      </c>
      <c r="B74" s="1">
        <v>46134</v>
      </c>
      <c r="C74" t="s">
        <v>10</v>
      </c>
      <c r="D74" t="s">
        <v>28</v>
      </c>
      <c r="E74" t="s">
        <v>29</v>
      </c>
      <c r="F74">
        <v>88</v>
      </c>
      <c r="G74">
        <v>920.5</v>
      </c>
      <c r="H74">
        <v>75</v>
      </c>
      <c r="I74">
        <v>3</v>
      </c>
    </row>
    <row r="75" spans="1:9" x14ac:dyDescent="0.3">
      <c r="A75" t="s">
        <v>100</v>
      </c>
      <c r="B75" s="1">
        <v>46134</v>
      </c>
      <c r="C75" t="s">
        <v>14</v>
      </c>
      <c r="D75" t="s">
        <v>28</v>
      </c>
      <c r="E75" t="s">
        <v>29</v>
      </c>
      <c r="F75">
        <v>89.8</v>
      </c>
      <c r="G75">
        <v>1150</v>
      </c>
      <c r="H75">
        <v>105</v>
      </c>
      <c r="I75">
        <v>3</v>
      </c>
    </row>
    <row r="76" spans="1:9" x14ac:dyDescent="0.3">
      <c r="A76" t="s">
        <v>101</v>
      </c>
      <c r="B76" s="1">
        <v>46134</v>
      </c>
      <c r="C76" t="s">
        <v>16</v>
      </c>
      <c r="D76" t="s">
        <v>32</v>
      </c>
      <c r="E76" t="s">
        <v>33</v>
      </c>
      <c r="F76">
        <v>92.8</v>
      </c>
      <c r="G76">
        <v>1520.75</v>
      </c>
      <c r="H76">
        <v>120</v>
      </c>
      <c r="I76">
        <v>4</v>
      </c>
    </row>
    <row r="77" spans="1:9" x14ac:dyDescent="0.3">
      <c r="A77" t="s">
        <v>102</v>
      </c>
      <c r="B77" s="1">
        <v>46134</v>
      </c>
      <c r="C77" t="s">
        <v>20</v>
      </c>
      <c r="D77" t="s">
        <v>32</v>
      </c>
      <c r="E77" t="s">
        <v>33</v>
      </c>
      <c r="F77">
        <v>93.9</v>
      </c>
      <c r="G77">
        <v>1790</v>
      </c>
      <c r="H77">
        <v>140</v>
      </c>
      <c r="I77">
        <v>4</v>
      </c>
    </row>
    <row r="78" spans="1:9" x14ac:dyDescent="0.3">
      <c r="A78" t="s">
        <v>103</v>
      </c>
      <c r="B78" s="1">
        <v>46134</v>
      </c>
      <c r="C78" t="s">
        <v>22</v>
      </c>
      <c r="D78" t="s">
        <v>42</v>
      </c>
      <c r="E78" t="s">
        <v>43</v>
      </c>
      <c r="F78">
        <v>95.8</v>
      </c>
      <c r="G78">
        <v>2520.5</v>
      </c>
      <c r="H78">
        <v>180</v>
      </c>
      <c r="I78">
        <v>5</v>
      </c>
    </row>
    <row r="79" spans="1:9" x14ac:dyDescent="0.3">
      <c r="A79" t="s">
        <v>104</v>
      </c>
      <c r="B79" s="1">
        <v>46134</v>
      </c>
      <c r="C79" t="s">
        <v>26</v>
      </c>
      <c r="D79" t="s">
        <v>42</v>
      </c>
      <c r="E79" t="s">
        <v>43</v>
      </c>
      <c r="F79">
        <v>94.5</v>
      </c>
      <c r="G79">
        <v>1620</v>
      </c>
      <c r="H79">
        <v>125</v>
      </c>
      <c r="I79">
        <v>5</v>
      </c>
    </row>
    <row r="80" spans="1:9" x14ac:dyDescent="0.3">
      <c r="A80" t="s">
        <v>105</v>
      </c>
      <c r="B80" s="1">
        <v>46135</v>
      </c>
      <c r="C80" t="s">
        <v>10</v>
      </c>
      <c r="D80" t="s">
        <v>28</v>
      </c>
      <c r="E80" t="s">
        <v>29</v>
      </c>
      <c r="F80">
        <v>88.9</v>
      </c>
      <c r="G80">
        <v>1150</v>
      </c>
      <c r="H80">
        <v>95</v>
      </c>
      <c r="I80">
        <v>3</v>
      </c>
    </row>
    <row r="81" spans="1:9" x14ac:dyDescent="0.3">
      <c r="A81" t="s">
        <v>106</v>
      </c>
      <c r="B81" s="1">
        <v>46135</v>
      </c>
      <c r="C81" t="s">
        <v>14</v>
      </c>
      <c r="D81" t="s">
        <v>28</v>
      </c>
      <c r="E81" t="s">
        <v>29</v>
      </c>
      <c r="F81">
        <v>91.2</v>
      </c>
      <c r="G81">
        <v>1420.75</v>
      </c>
      <c r="H81">
        <v>125</v>
      </c>
      <c r="I81">
        <v>3</v>
      </c>
    </row>
    <row r="82" spans="1:9" x14ac:dyDescent="0.3">
      <c r="A82" t="s">
        <v>107</v>
      </c>
      <c r="B82" s="1">
        <v>46135</v>
      </c>
      <c r="C82" t="s">
        <v>16</v>
      </c>
      <c r="D82" t="s">
        <v>11</v>
      </c>
      <c r="E82" t="s">
        <v>12</v>
      </c>
      <c r="F82">
        <v>94.5</v>
      </c>
      <c r="G82">
        <v>2310</v>
      </c>
      <c r="H82">
        <v>170</v>
      </c>
      <c r="I82">
        <v>4</v>
      </c>
    </row>
    <row r="83" spans="1:9" x14ac:dyDescent="0.3">
      <c r="A83" t="s">
        <v>108</v>
      </c>
      <c r="B83" s="1">
        <v>46135</v>
      </c>
      <c r="C83" t="s">
        <v>20</v>
      </c>
      <c r="D83" t="s">
        <v>11</v>
      </c>
      <c r="E83" t="s">
        <v>12</v>
      </c>
      <c r="F83">
        <v>96.4</v>
      </c>
      <c r="G83">
        <v>2750.5</v>
      </c>
      <c r="H83">
        <v>200</v>
      </c>
      <c r="I83">
        <v>4</v>
      </c>
    </row>
    <row r="84" spans="1:9" x14ac:dyDescent="0.3">
      <c r="A84" t="s">
        <v>109</v>
      </c>
      <c r="B84" s="1">
        <v>46135</v>
      </c>
      <c r="C84" t="s">
        <v>22</v>
      </c>
      <c r="D84" t="s">
        <v>23</v>
      </c>
      <c r="E84" t="s">
        <v>24</v>
      </c>
      <c r="F84">
        <v>97.9</v>
      </c>
      <c r="G84">
        <v>3680</v>
      </c>
      <c r="H84">
        <v>250</v>
      </c>
      <c r="I84">
        <v>5</v>
      </c>
    </row>
    <row r="85" spans="1:9" x14ac:dyDescent="0.3">
      <c r="A85" t="s">
        <v>110</v>
      </c>
      <c r="B85" s="1">
        <v>46135</v>
      </c>
      <c r="C85" t="s">
        <v>26</v>
      </c>
      <c r="D85" t="s">
        <v>23</v>
      </c>
      <c r="E85" t="s">
        <v>24</v>
      </c>
      <c r="F85">
        <v>95.8</v>
      </c>
      <c r="G85">
        <v>2350.25</v>
      </c>
      <c r="H85">
        <v>165</v>
      </c>
      <c r="I85">
        <v>5</v>
      </c>
    </row>
    <row r="86" spans="1:9" x14ac:dyDescent="0.3">
      <c r="A86" t="s">
        <v>111</v>
      </c>
      <c r="B86" s="1">
        <v>46136</v>
      </c>
      <c r="C86" t="s">
        <v>10</v>
      </c>
      <c r="D86" t="s">
        <v>11</v>
      </c>
      <c r="E86" t="s">
        <v>12</v>
      </c>
      <c r="F86">
        <v>92.9</v>
      </c>
      <c r="G86">
        <v>1890.5</v>
      </c>
      <c r="H86">
        <v>145</v>
      </c>
      <c r="I86">
        <v>4</v>
      </c>
    </row>
    <row r="87" spans="1:9" x14ac:dyDescent="0.3">
      <c r="A87" t="s">
        <v>112</v>
      </c>
      <c r="B87" s="1">
        <v>46136</v>
      </c>
      <c r="C87" t="s">
        <v>14</v>
      </c>
      <c r="D87" t="s">
        <v>11</v>
      </c>
      <c r="E87" t="s">
        <v>12</v>
      </c>
      <c r="F87">
        <v>95</v>
      </c>
      <c r="G87">
        <v>2520</v>
      </c>
      <c r="H87">
        <v>190</v>
      </c>
      <c r="I87">
        <v>5</v>
      </c>
    </row>
    <row r="88" spans="1:9" x14ac:dyDescent="0.3">
      <c r="A88" t="s">
        <v>113</v>
      </c>
      <c r="B88" s="1">
        <v>46136</v>
      </c>
      <c r="C88" t="s">
        <v>16</v>
      </c>
      <c r="D88" t="s">
        <v>17</v>
      </c>
      <c r="E88" t="s">
        <v>18</v>
      </c>
      <c r="F88">
        <v>99.9</v>
      </c>
      <c r="G88">
        <v>3810.25</v>
      </c>
      <c r="H88">
        <v>280</v>
      </c>
      <c r="I88">
        <v>7</v>
      </c>
    </row>
    <row r="89" spans="1:9" x14ac:dyDescent="0.3">
      <c r="A89" t="s">
        <v>114</v>
      </c>
      <c r="B89" s="1">
        <v>46136</v>
      </c>
      <c r="C89" t="s">
        <v>20</v>
      </c>
      <c r="D89" t="s">
        <v>17</v>
      </c>
      <c r="E89" t="s">
        <v>18</v>
      </c>
      <c r="F89">
        <v>102.5</v>
      </c>
      <c r="G89">
        <v>4680.5</v>
      </c>
      <c r="H89">
        <v>340</v>
      </c>
      <c r="I89">
        <v>7</v>
      </c>
    </row>
    <row r="90" spans="1:9" x14ac:dyDescent="0.3">
      <c r="A90" t="s">
        <v>115</v>
      </c>
      <c r="B90" s="1">
        <v>46136</v>
      </c>
      <c r="C90" t="s">
        <v>22</v>
      </c>
      <c r="D90" t="s">
        <v>42</v>
      </c>
      <c r="E90" t="s">
        <v>43</v>
      </c>
      <c r="F90">
        <v>97.4</v>
      </c>
      <c r="G90">
        <v>4250</v>
      </c>
      <c r="H90">
        <v>315</v>
      </c>
      <c r="I90">
        <v>6</v>
      </c>
    </row>
    <row r="91" spans="1:9" x14ac:dyDescent="0.3">
      <c r="A91" t="s">
        <v>116</v>
      </c>
      <c r="B91" s="1">
        <v>46136</v>
      </c>
      <c r="C91" t="s">
        <v>26</v>
      </c>
      <c r="D91" t="s">
        <v>42</v>
      </c>
      <c r="E91" t="s">
        <v>43</v>
      </c>
      <c r="F91">
        <v>95.7</v>
      </c>
      <c r="G91">
        <v>2920.75</v>
      </c>
      <c r="H91">
        <v>215</v>
      </c>
      <c r="I91">
        <v>6</v>
      </c>
    </row>
    <row r="92" spans="1:9" x14ac:dyDescent="0.3">
      <c r="A92" t="s">
        <v>117</v>
      </c>
      <c r="B92" s="1">
        <v>46137</v>
      </c>
      <c r="C92" t="s">
        <v>10</v>
      </c>
      <c r="D92" t="s">
        <v>11</v>
      </c>
      <c r="E92" t="s">
        <v>12</v>
      </c>
      <c r="F92">
        <v>93.4</v>
      </c>
      <c r="G92">
        <v>2380</v>
      </c>
      <c r="H92">
        <v>170</v>
      </c>
      <c r="I92">
        <v>5</v>
      </c>
    </row>
    <row r="93" spans="1:9" x14ac:dyDescent="0.3">
      <c r="A93" t="s">
        <v>118</v>
      </c>
      <c r="B93" s="1">
        <v>46137</v>
      </c>
      <c r="C93" t="s">
        <v>14</v>
      </c>
      <c r="D93" t="s">
        <v>11</v>
      </c>
      <c r="E93" t="s">
        <v>12</v>
      </c>
      <c r="F93">
        <v>95.7</v>
      </c>
      <c r="G93">
        <v>3120.5</v>
      </c>
      <c r="H93">
        <v>220</v>
      </c>
      <c r="I93">
        <v>5</v>
      </c>
    </row>
    <row r="94" spans="1:9" x14ac:dyDescent="0.3">
      <c r="A94" t="s">
        <v>119</v>
      </c>
      <c r="B94" s="1">
        <v>46137</v>
      </c>
      <c r="C94" t="s">
        <v>16</v>
      </c>
      <c r="D94" t="s">
        <v>17</v>
      </c>
      <c r="E94" t="s">
        <v>18</v>
      </c>
      <c r="F94">
        <v>101.5</v>
      </c>
      <c r="G94">
        <v>4750</v>
      </c>
      <c r="H94">
        <v>335</v>
      </c>
      <c r="I94">
        <v>8</v>
      </c>
    </row>
    <row r="95" spans="1:9" x14ac:dyDescent="0.3">
      <c r="A95" t="s">
        <v>120</v>
      </c>
      <c r="B95" s="1">
        <v>46137</v>
      </c>
      <c r="C95" t="s">
        <v>20</v>
      </c>
      <c r="D95" t="s">
        <v>17</v>
      </c>
      <c r="E95" t="s">
        <v>18</v>
      </c>
      <c r="F95">
        <v>104.5</v>
      </c>
      <c r="G95">
        <v>5500.25</v>
      </c>
      <c r="H95">
        <v>395</v>
      </c>
      <c r="I95">
        <v>8</v>
      </c>
    </row>
    <row r="96" spans="1:9" x14ac:dyDescent="0.3">
      <c r="A96" t="s">
        <v>121</v>
      </c>
      <c r="B96" s="1">
        <v>46137</v>
      </c>
      <c r="C96" t="s">
        <v>22</v>
      </c>
      <c r="D96" t="s">
        <v>23</v>
      </c>
      <c r="E96" t="s">
        <v>24</v>
      </c>
      <c r="F96">
        <v>98.9</v>
      </c>
      <c r="G96">
        <v>4910.5</v>
      </c>
      <c r="H96">
        <v>355</v>
      </c>
      <c r="I96">
        <v>7</v>
      </c>
    </row>
    <row r="97" spans="1:9" x14ac:dyDescent="0.3">
      <c r="A97" t="s">
        <v>122</v>
      </c>
      <c r="B97" s="1">
        <v>46137</v>
      </c>
      <c r="C97" t="s">
        <v>26</v>
      </c>
      <c r="D97" t="s">
        <v>23</v>
      </c>
      <c r="E97" t="s">
        <v>24</v>
      </c>
      <c r="F97">
        <v>97.5</v>
      </c>
      <c r="G97">
        <v>3380</v>
      </c>
      <c r="H97">
        <v>240</v>
      </c>
      <c r="I97">
        <v>7</v>
      </c>
    </row>
    <row r="98" spans="1:9" x14ac:dyDescent="0.3">
      <c r="A98" t="s">
        <v>123</v>
      </c>
      <c r="B98" s="1">
        <v>46141</v>
      </c>
      <c r="C98" t="s">
        <v>10</v>
      </c>
      <c r="D98" t="s">
        <v>28</v>
      </c>
      <c r="E98" t="s">
        <v>29</v>
      </c>
      <c r="F98">
        <v>87.8</v>
      </c>
      <c r="G98">
        <v>900</v>
      </c>
      <c r="H98">
        <v>70</v>
      </c>
      <c r="I98">
        <v>3</v>
      </c>
    </row>
    <row r="99" spans="1:9" x14ac:dyDescent="0.3">
      <c r="A99" t="s">
        <v>124</v>
      </c>
      <c r="B99" s="1">
        <v>46141</v>
      </c>
      <c r="C99" t="s">
        <v>14</v>
      </c>
      <c r="D99" t="s">
        <v>28</v>
      </c>
      <c r="E99" t="s">
        <v>29</v>
      </c>
      <c r="F99">
        <v>89.5</v>
      </c>
      <c r="G99">
        <v>1110.5</v>
      </c>
      <c r="H99">
        <v>100</v>
      </c>
      <c r="I99">
        <v>3</v>
      </c>
    </row>
    <row r="100" spans="1:9" x14ac:dyDescent="0.3">
      <c r="A100" t="s">
        <v>125</v>
      </c>
      <c r="B100" s="1">
        <v>46141</v>
      </c>
      <c r="C100" t="s">
        <v>16</v>
      </c>
      <c r="D100" t="s">
        <v>32</v>
      </c>
      <c r="E100" t="s">
        <v>33</v>
      </c>
      <c r="F100">
        <v>92.5</v>
      </c>
      <c r="G100">
        <v>1480</v>
      </c>
      <c r="H100">
        <v>115</v>
      </c>
      <c r="I100">
        <v>4</v>
      </c>
    </row>
    <row r="101" spans="1:9" x14ac:dyDescent="0.3">
      <c r="A101" t="s">
        <v>126</v>
      </c>
      <c r="B101" s="1">
        <v>46141</v>
      </c>
      <c r="C101" t="s">
        <v>20</v>
      </c>
      <c r="D101" t="s">
        <v>32</v>
      </c>
      <c r="E101" t="s">
        <v>33</v>
      </c>
      <c r="F101">
        <v>93.6</v>
      </c>
      <c r="G101">
        <v>1720.25</v>
      </c>
      <c r="H101">
        <v>135</v>
      </c>
      <c r="I101">
        <v>4</v>
      </c>
    </row>
    <row r="102" spans="1:9" x14ac:dyDescent="0.3">
      <c r="A102" t="s">
        <v>127</v>
      </c>
      <c r="B102" s="1">
        <v>46141</v>
      </c>
      <c r="C102" t="s">
        <v>22</v>
      </c>
      <c r="D102" t="s">
        <v>42</v>
      </c>
      <c r="E102" t="s">
        <v>43</v>
      </c>
      <c r="F102">
        <v>95.5</v>
      </c>
      <c r="G102">
        <v>2460.5</v>
      </c>
      <c r="H102">
        <v>175</v>
      </c>
      <c r="I102">
        <v>5</v>
      </c>
    </row>
    <row r="103" spans="1:9" x14ac:dyDescent="0.3">
      <c r="A103" t="s">
        <v>128</v>
      </c>
      <c r="B103" s="1">
        <v>46141</v>
      </c>
      <c r="C103" t="s">
        <v>26</v>
      </c>
      <c r="D103" t="s">
        <v>42</v>
      </c>
      <c r="E103" t="s">
        <v>43</v>
      </c>
      <c r="F103">
        <v>94.2</v>
      </c>
      <c r="G103">
        <v>1580</v>
      </c>
      <c r="H103">
        <v>120</v>
      </c>
      <c r="I103">
        <v>5</v>
      </c>
    </row>
    <row r="104" spans="1:9" x14ac:dyDescent="0.3">
      <c r="A104" t="s">
        <v>129</v>
      </c>
      <c r="B104" s="1">
        <v>46142</v>
      </c>
      <c r="C104" t="s">
        <v>10</v>
      </c>
      <c r="D104" t="s">
        <v>28</v>
      </c>
      <c r="E104" t="s">
        <v>29</v>
      </c>
      <c r="F104">
        <v>89.2</v>
      </c>
      <c r="G104">
        <v>1180.5</v>
      </c>
      <c r="H104">
        <v>100</v>
      </c>
      <c r="I104">
        <v>3</v>
      </c>
    </row>
    <row r="105" spans="1:9" x14ac:dyDescent="0.3">
      <c r="A105" t="s">
        <v>130</v>
      </c>
      <c r="B105" s="1">
        <v>46142</v>
      </c>
      <c r="C105" t="s">
        <v>14</v>
      </c>
      <c r="D105" t="s">
        <v>28</v>
      </c>
      <c r="E105" t="s">
        <v>29</v>
      </c>
      <c r="F105">
        <v>91.5</v>
      </c>
      <c r="G105">
        <v>1480</v>
      </c>
      <c r="H105">
        <v>130</v>
      </c>
      <c r="I105">
        <v>3</v>
      </c>
    </row>
    <row r="106" spans="1:9" x14ac:dyDescent="0.3">
      <c r="A106" t="s">
        <v>131</v>
      </c>
      <c r="B106" s="1">
        <v>46142</v>
      </c>
      <c r="C106" t="s">
        <v>16</v>
      </c>
      <c r="D106" t="s">
        <v>11</v>
      </c>
      <c r="E106" t="s">
        <v>12</v>
      </c>
      <c r="F106">
        <v>94.7</v>
      </c>
      <c r="G106">
        <v>2420.25</v>
      </c>
      <c r="H106">
        <v>175</v>
      </c>
      <c r="I106">
        <v>4</v>
      </c>
    </row>
    <row r="107" spans="1:9" x14ac:dyDescent="0.3">
      <c r="A107" t="s">
        <v>132</v>
      </c>
      <c r="B107" s="1">
        <v>46142</v>
      </c>
      <c r="C107" t="s">
        <v>20</v>
      </c>
      <c r="D107" t="s">
        <v>11</v>
      </c>
      <c r="E107" t="s">
        <v>12</v>
      </c>
      <c r="F107">
        <v>96.6</v>
      </c>
      <c r="G107">
        <v>2890.5</v>
      </c>
      <c r="H107">
        <v>210</v>
      </c>
      <c r="I107">
        <v>4</v>
      </c>
    </row>
    <row r="108" spans="1:9" x14ac:dyDescent="0.3">
      <c r="A108" t="s">
        <v>133</v>
      </c>
      <c r="B108" s="1">
        <v>46142</v>
      </c>
      <c r="C108" t="s">
        <v>22</v>
      </c>
      <c r="D108" t="s">
        <v>23</v>
      </c>
      <c r="E108" t="s">
        <v>24</v>
      </c>
      <c r="F108">
        <v>98.2</v>
      </c>
      <c r="G108">
        <v>3820</v>
      </c>
      <c r="H108">
        <v>260</v>
      </c>
      <c r="I108">
        <v>5</v>
      </c>
    </row>
    <row r="109" spans="1:9" x14ac:dyDescent="0.3">
      <c r="A109" t="s">
        <v>134</v>
      </c>
      <c r="B109" s="1">
        <v>46142</v>
      </c>
      <c r="C109" t="s">
        <v>26</v>
      </c>
      <c r="D109" t="s">
        <v>23</v>
      </c>
      <c r="E109" t="s">
        <v>24</v>
      </c>
      <c r="F109">
        <v>96.1</v>
      </c>
      <c r="G109">
        <v>2450.75</v>
      </c>
      <c r="H109">
        <v>175</v>
      </c>
      <c r="I109">
        <v>5</v>
      </c>
    </row>
    <row r="110" spans="1:9" x14ac:dyDescent="0.3">
      <c r="A110" t="s">
        <v>135</v>
      </c>
      <c r="B110" s="1">
        <v>46143</v>
      </c>
      <c r="C110" t="s">
        <v>10</v>
      </c>
      <c r="D110" t="s">
        <v>11</v>
      </c>
      <c r="E110" t="s">
        <v>12</v>
      </c>
      <c r="F110">
        <v>93.1</v>
      </c>
      <c r="G110">
        <v>1940</v>
      </c>
      <c r="H110">
        <v>150</v>
      </c>
      <c r="I110">
        <v>4</v>
      </c>
    </row>
    <row r="111" spans="1:9" x14ac:dyDescent="0.3">
      <c r="A111" t="s">
        <v>136</v>
      </c>
      <c r="B111" s="1">
        <v>46143</v>
      </c>
      <c r="C111" t="s">
        <v>14</v>
      </c>
      <c r="D111" t="s">
        <v>11</v>
      </c>
      <c r="E111" t="s">
        <v>12</v>
      </c>
      <c r="F111">
        <v>95.2</v>
      </c>
      <c r="G111">
        <v>2610.5</v>
      </c>
      <c r="H111">
        <v>195</v>
      </c>
      <c r="I111">
        <v>5</v>
      </c>
    </row>
    <row r="112" spans="1:9" x14ac:dyDescent="0.3">
      <c r="A112" t="s">
        <v>137</v>
      </c>
      <c r="B112" s="1">
        <v>46143</v>
      </c>
      <c r="C112" t="s">
        <v>16</v>
      </c>
      <c r="D112" t="s">
        <v>17</v>
      </c>
      <c r="E112" t="s">
        <v>18</v>
      </c>
      <c r="F112">
        <v>100.2</v>
      </c>
      <c r="G112">
        <v>3950</v>
      </c>
      <c r="H112">
        <v>290</v>
      </c>
      <c r="I112">
        <v>7</v>
      </c>
    </row>
    <row r="113" spans="1:9" x14ac:dyDescent="0.3">
      <c r="A113" t="s">
        <v>138</v>
      </c>
      <c r="B113" s="1">
        <v>46143</v>
      </c>
      <c r="C113" t="s">
        <v>20</v>
      </c>
      <c r="D113" t="s">
        <v>17</v>
      </c>
      <c r="E113" t="s">
        <v>18</v>
      </c>
      <c r="F113">
        <v>102.8</v>
      </c>
      <c r="G113">
        <v>4780.25</v>
      </c>
      <c r="H113">
        <v>350</v>
      </c>
      <c r="I113">
        <v>7</v>
      </c>
    </row>
    <row r="114" spans="1:9" x14ac:dyDescent="0.3">
      <c r="A114" t="s">
        <v>139</v>
      </c>
      <c r="B114" s="1">
        <v>46143</v>
      </c>
      <c r="C114" t="s">
        <v>22</v>
      </c>
      <c r="D114" t="s">
        <v>42</v>
      </c>
      <c r="E114" t="s">
        <v>43</v>
      </c>
      <c r="F114">
        <v>97.6</v>
      </c>
      <c r="G114">
        <v>4380.5</v>
      </c>
      <c r="H114">
        <v>325</v>
      </c>
      <c r="I114">
        <v>6</v>
      </c>
    </row>
    <row r="115" spans="1:9" x14ac:dyDescent="0.3">
      <c r="A115" t="s">
        <v>140</v>
      </c>
      <c r="B115" s="1">
        <v>46143</v>
      </c>
      <c r="C115" t="s">
        <v>26</v>
      </c>
      <c r="D115" t="s">
        <v>42</v>
      </c>
      <c r="E115" t="s">
        <v>43</v>
      </c>
      <c r="F115">
        <v>96</v>
      </c>
      <c r="G115">
        <v>3050</v>
      </c>
      <c r="H115">
        <v>225</v>
      </c>
      <c r="I115">
        <v>6</v>
      </c>
    </row>
    <row r="116" spans="1:9" x14ac:dyDescent="0.3">
      <c r="A116" t="s">
        <v>141</v>
      </c>
      <c r="B116" s="1">
        <v>46144</v>
      </c>
      <c r="C116" t="s">
        <v>10</v>
      </c>
      <c r="D116" t="s">
        <v>11</v>
      </c>
      <c r="E116" t="s">
        <v>12</v>
      </c>
      <c r="F116">
        <v>93.7</v>
      </c>
      <c r="G116">
        <v>2450.5</v>
      </c>
      <c r="H116">
        <v>175</v>
      </c>
      <c r="I116">
        <v>5</v>
      </c>
    </row>
    <row r="117" spans="1:9" x14ac:dyDescent="0.3">
      <c r="A117" t="s">
        <v>142</v>
      </c>
      <c r="B117" s="1">
        <v>46144</v>
      </c>
      <c r="C117" t="s">
        <v>14</v>
      </c>
      <c r="D117" t="s">
        <v>11</v>
      </c>
      <c r="E117" t="s">
        <v>12</v>
      </c>
      <c r="F117">
        <v>96</v>
      </c>
      <c r="G117">
        <v>3240</v>
      </c>
      <c r="H117">
        <v>230</v>
      </c>
      <c r="I117">
        <v>5</v>
      </c>
    </row>
    <row r="118" spans="1:9" x14ac:dyDescent="0.3">
      <c r="A118" t="s">
        <v>143</v>
      </c>
      <c r="B118" s="1">
        <v>46144</v>
      </c>
      <c r="C118" t="s">
        <v>16</v>
      </c>
      <c r="D118" t="s">
        <v>17</v>
      </c>
      <c r="E118" t="s">
        <v>18</v>
      </c>
      <c r="F118">
        <v>101.8</v>
      </c>
      <c r="G118">
        <v>4920.75</v>
      </c>
      <c r="H118">
        <v>345</v>
      </c>
      <c r="I118">
        <v>8</v>
      </c>
    </row>
    <row r="119" spans="1:9" x14ac:dyDescent="0.3">
      <c r="A119" t="s">
        <v>144</v>
      </c>
      <c r="B119" s="1">
        <v>46144</v>
      </c>
      <c r="C119" t="s">
        <v>20</v>
      </c>
      <c r="D119" t="s">
        <v>17</v>
      </c>
      <c r="E119" t="s">
        <v>18</v>
      </c>
      <c r="F119">
        <v>104.8</v>
      </c>
      <c r="G119">
        <v>5680</v>
      </c>
      <c r="H119">
        <v>410</v>
      </c>
      <c r="I119">
        <v>8</v>
      </c>
    </row>
    <row r="120" spans="1:9" x14ac:dyDescent="0.3">
      <c r="A120" t="s">
        <v>145</v>
      </c>
      <c r="B120" s="1">
        <v>46144</v>
      </c>
      <c r="C120" t="s">
        <v>22</v>
      </c>
      <c r="D120" t="s">
        <v>23</v>
      </c>
      <c r="E120" t="s">
        <v>24</v>
      </c>
      <c r="F120">
        <v>99.1</v>
      </c>
      <c r="G120">
        <v>5100.25</v>
      </c>
      <c r="H120">
        <v>370</v>
      </c>
      <c r="I120">
        <v>7</v>
      </c>
    </row>
    <row r="121" spans="1:9" x14ac:dyDescent="0.3">
      <c r="A121" t="s">
        <v>146</v>
      </c>
      <c r="B121" s="1">
        <v>46144</v>
      </c>
      <c r="C121" t="s">
        <v>26</v>
      </c>
      <c r="D121" t="s">
        <v>23</v>
      </c>
      <c r="E121" t="s">
        <v>24</v>
      </c>
      <c r="F121">
        <v>97.7</v>
      </c>
      <c r="G121">
        <v>3520.5</v>
      </c>
      <c r="H121">
        <v>250</v>
      </c>
      <c r="I121">
        <v>7</v>
      </c>
    </row>
    <row r="122" spans="1:9" x14ac:dyDescent="0.3">
      <c r="A122" t="s">
        <v>147</v>
      </c>
      <c r="B122" s="1">
        <v>46148</v>
      </c>
      <c r="C122" t="s">
        <v>10</v>
      </c>
      <c r="D122" t="s">
        <v>28</v>
      </c>
      <c r="E122" t="s">
        <v>29</v>
      </c>
      <c r="F122">
        <v>87.6</v>
      </c>
      <c r="G122">
        <v>880</v>
      </c>
      <c r="H122">
        <v>65</v>
      </c>
      <c r="I122">
        <v>3</v>
      </c>
    </row>
    <row r="123" spans="1:9" x14ac:dyDescent="0.3">
      <c r="A123" t="s">
        <v>148</v>
      </c>
      <c r="B123" s="1">
        <v>46148</v>
      </c>
      <c r="C123" t="s">
        <v>14</v>
      </c>
      <c r="D123" t="s">
        <v>28</v>
      </c>
      <c r="E123" t="s">
        <v>29</v>
      </c>
      <c r="F123">
        <v>89.3</v>
      </c>
      <c r="G123">
        <v>1080.25</v>
      </c>
      <c r="H123">
        <v>95</v>
      </c>
      <c r="I123">
        <v>3</v>
      </c>
    </row>
    <row r="124" spans="1:9" x14ac:dyDescent="0.3">
      <c r="A124" t="s">
        <v>149</v>
      </c>
      <c r="B124" s="1">
        <v>46148</v>
      </c>
      <c r="C124" t="s">
        <v>16</v>
      </c>
      <c r="D124" t="s">
        <v>32</v>
      </c>
      <c r="E124" t="s">
        <v>33</v>
      </c>
      <c r="F124">
        <v>92.3</v>
      </c>
      <c r="G124">
        <v>1420.5</v>
      </c>
      <c r="H124">
        <v>110</v>
      </c>
      <c r="I124">
        <v>4</v>
      </c>
    </row>
    <row r="125" spans="1:9" x14ac:dyDescent="0.3">
      <c r="A125" t="s">
        <v>150</v>
      </c>
      <c r="B125" s="1">
        <v>46148</v>
      </c>
      <c r="C125" t="s">
        <v>20</v>
      </c>
      <c r="D125" t="s">
        <v>32</v>
      </c>
      <c r="E125" t="s">
        <v>33</v>
      </c>
      <c r="F125">
        <v>93.3</v>
      </c>
      <c r="G125">
        <v>1650</v>
      </c>
      <c r="H125">
        <v>130</v>
      </c>
      <c r="I125">
        <v>4</v>
      </c>
    </row>
    <row r="126" spans="1:9" x14ac:dyDescent="0.3">
      <c r="A126" t="s">
        <v>151</v>
      </c>
      <c r="B126" s="1">
        <v>46148</v>
      </c>
      <c r="C126" t="s">
        <v>22</v>
      </c>
      <c r="D126" t="s">
        <v>42</v>
      </c>
      <c r="E126" t="s">
        <v>43</v>
      </c>
      <c r="F126">
        <v>95.2</v>
      </c>
      <c r="G126">
        <v>2380.75</v>
      </c>
      <c r="H126">
        <v>170</v>
      </c>
      <c r="I126">
        <v>5</v>
      </c>
    </row>
    <row r="127" spans="1:9" x14ac:dyDescent="0.3">
      <c r="A127" t="s">
        <v>152</v>
      </c>
      <c r="B127" s="1">
        <v>46148</v>
      </c>
      <c r="C127" t="s">
        <v>26</v>
      </c>
      <c r="D127" t="s">
        <v>42</v>
      </c>
      <c r="E127" t="s">
        <v>43</v>
      </c>
      <c r="F127">
        <v>93.9</v>
      </c>
      <c r="G127">
        <v>1520</v>
      </c>
      <c r="H127">
        <v>115</v>
      </c>
      <c r="I127">
        <v>5</v>
      </c>
    </row>
    <row r="128" spans="1:9" x14ac:dyDescent="0.3">
      <c r="A128" t="s">
        <v>153</v>
      </c>
      <c r="B128" s="1">
        <v>46149</v>
      </c>
      <c r="C128" t="s">
        <v>10</v>
      </c>
      <c r="D128" t="s">
        <v>28</v>
      </c>
      <c r="E128" t="s">
        <v>29</v>
      </c>
      <c r="F128">
        <v>89.4</v>
      </c>
      <c r="G128">
        <v>1210</v>
      </c>
      <c r="H128">
        <v>105</v>
      </c>
      <c r="I128">
        <v>3</v>
      </c>
    </row>
    <row r="129" spans="1:9" x14ac:dyDescent="0.3">
      <c r="A129" t="s">
        <v>154</v>
      </c>
      <c r="B129" s="1">
        <v>46149</v>
      </c>
      <c r="C129" t="s">
        <v>14</v>
      </c>
      <c r="D129" t="s">
        <v>28</v>
      </c>
      <c r="E129" t="s">
        <v>29</v>
      </c>
      <c r="F129">
        <v>91.7</v>
      </c>
      <c r="G129">
        <v>1520.5</v>
      </c>
      <c r="H129">
        <v>135</v>
      </c>
      <c r="I129">
        <v>3</v>
      </c>
    </row>
    <row r="130" spans="1:9" x14ac:dyDescent="0.3">
      <c r="A130" t="s">
        <v>155</v>
      </c>
      <c r="B130" s="1">
        <v>46149</v>
      </c>
      <c r="C130" t="s">
        <v>16</v>
      </c>
      <c r="D130" t="s">
        <v>11</v>
      </c>
      <c r="E130" t="s">
        <v>12</v>
      </c>
      <c r="F130">
        <v>94.9</v>
      </c>
      <c r="G130">
        <v>2500</v>
      </c>
      <c r="H130">
        <v>180</v>
      </c>
      <c r="I130">
        <v>4</v>
      </c>
    </row>
    <row r="131" spans="1:9" x14ac:dyDescent="0.3">
      <c r="A131" t="s">
        <v>156</v>
      </c>
      <c r="B131" s="1">
        <v>46149</v>
      </c>
      <c r="C131" t="s">
        <v>20</v>
      </c>
      <c r="D131" t="s">
        <v>11</v>
      </c>
      <c r="E131" t="s">
        <v>12</v>
      </c>
      <c r="F131">
        <v>96.8</v>
      </c>
      <c r="G131">
        <v>2980.25</v>
      </c>
      <c r="H131">
        <v>215</v>
      </c>
      <c r="I131">
        <v>4</v>
      </c>
    </row>
    <row r="132" spans="1:9" x14ac:dyDescent="0.3">
      <c r="A132" t="s">
        <v>157</v>
      </c>
      <c r="B132" s="1">
        <v>46149</v>
      </c>
      <c r="C132" t="s">
        <v>22</v>
      </c>
      <c r="D132" t="s">
        <v>23</v>
      </c>
      <c r="E132" t="s">
        <v>24</v>
      </c>
      <c r="F132">
        <v>98.5</v>
      </c>
      <c r="G132">
        <v>3950.5</v>
      </c>
      <c r="H132">
        <v>270</v>
      </c>
      <c r="I132">
        <v>5</v>
      </c>
    </row>
    <row r="133" spans="1:9" x14ac:dyDescent="0.3">
      <c r="A133" t="s">
        <v>158</v>
      </c>
      <c r="B133" s="1">
        <v>46149</v>
      </c>
      <c r="C133" t="s">
        <v>26</v>
      </c>
      <c r="D133" t="s">
        <v>23</v>
      </c>
      <c r="E133" t="s">
        <v>24</v>
      </c>
      <c r="F133">
        <v>96.4</v>
      </c>
      <c r="G133">
        <v>2540</v>
      </c>
      <c r="H133">
        <v>180</v>
      </c>
      <c r="I133">
        <v>5</v>
      </c>
    </row>
    <row r="134" spans="1:9" x14ac:dyDescent="0.3">
      <c r="A134" t="s">
        <v>159</v>
      </c>
      <c r="B134" s="1">
        <v>46150</v>
      </c>
      <c r="C134" t="s">
        <v>10</v>
      </c>
      <c r="D134" t="s">
        <v>11</v>
      </c>
      <c r="E134" t="s">
        <v>12</v>
      </c>
      <c r="F134">
        <v>93.3</v>
      </c>
      <c r="G134">
        <v>1990.5</v>
      </c>
      <c r="H134">
        <v>155</v>
      </c>
      <c r="I134">
        <v>4</v>
      </c>
    </row>
    <row r="135" spans="1:9" x14ac:dyDescent="0.3">
      <c r="A135" t="s">
        <v>160</v>
      </c>
      <c r="B135" s="1">
        <v>46150</v>
      </c>
      <c r="C135" t="s">
        <v>14</v>
      </c>
      <c r="D135" t="s">
        <v>11</v>
      </c>
      <c r="E135" t="s">
        <v>12</v>
      </c>
      <c r="F135">
        <v>95.4</v>
      </c>
      <c r="G135">
        <v>2690</v>
      </c>
      <c r="H135">
        <v>200</v>
      </c>
      <c r="I135">
        <v>5</v>
      </c>
    </row>
    <row r="136" spans="1:9" x14ac:dyDescent="0.3">
      <c r="A136" t="s">
        <v>161</v>
      </c>
      <c r="B136" s="1">
        <v>46150</v>
      </c>
      <c r="C136" t="s">
        <v>16</v>
      </c>
      <c r="D136" t="s">
        <v>17</v>
      </c>
      <c r="E136" t="s">
        <v>18</v>
      </c>
      <c r="F136">
        <v>100.5</v>
      </c>
      <c r="G136">
        <v>4100.25</v>
      </c>
      <c r="H136">
        <v>300</v>
      </c>
      <c r="I136">
        <v>7</v>
      </c>
    </row>
    <row r="137" spans="1:9" x14ac:dyDescent="0.3">
      <c r="A137" t="s">
        <v>162</v>
      </c>
      <c r="B137" s="1">
        <v>46150</v>
      </c>
      <c r="C137" t="s">
        <v>20</v>
      </c>
      <c r="D137" t="s">
        <v>17</v>
      </c>
      <c r="E137" t="s">
        <v>18</v>
      </c>
      <c r="F137">
        <v>103.1</v>
      </c>
      <c r="G137">
        <v>4920.5</v>
      </c>
      <c r="H137">
        <v>360</v>
      </c>
      <c r="I137">
        <v>7</v>
      </c>
    </row>
    <row r="138" spans="1:9" x14ac:dyDescent="0.3">
      <c r="A138" t="s">
        <v>163</v>
      </c>
      <c r="B138" s="1">
        <v>46150</v>
      </c>
      <c r="C138" t="s">
        <v>22</v>
      </c>
      <c r="D138" t="s">
        <v>42</v>
      </c>
      <c r="E138" t="s">
        <v>43</v>
      </c>
      <c r="F138">
        <v>97.8</v>
      </c>
      <c r="G138">
        <v>4520</v>
      </c>
      <c r="H138">
        <v>335</v>
      </c>
      <c r="I138">
        <v>6</v>
      </c>
    </row>
    <row r="139" spans="1:9" x14ac:dyDescent="0.3">
      <c r="A139" t="s">
        <v>164</v>
      </c>
      <c r="B139" s="1">
        <v>46150</v>
      </c>
      <c r="C139" t="s">
        <v>26</v>
      </c>
      <c r="D139" t="s">
        <v>42</v>
      </c>
      <c r="E139" t="s">
        <v>43</v>
      </c>
      <c r="F139">
        <v>96.3</v>
      </c>
      <c r="G139">
        <v>3150.75</v>
      </c>
      <c r="H139">
        <v>235</v>
      </c>
      <c r="I139">
        <v>6</v>
      </c>
    </row>
    <row r="140" spans="1:9" x14ac:dyDescent="0.3">
      <c r="A140" t="s">
        <v>165</v>
      </c>
      <c r="B140" s="1">
        <v>46151</v>
      </c>
      <c r="C140" t="s">
        <v>10</v>
      </c>
      <c r="D140" t="s">
        <v>11</v>
      </c>
      <c r="E140" t="s">
        <v>12</v>
      </c>
      <c r="F140">
        <v>93.9</v>
      </c>
      <c r="G140">
        <v>2520</v>
      </c>
      <c r="H140">
        <v>180</v>
      </c>
      <c r="I140">
        <v>5</v>
      </c>
    </row>
    <row r="141" spans="1:9" x14ac:dyDescent="0.3">
      <c r="A141" t="s">
        <v>166</v>
      </c>
      <c r="B141" s="1">
        <v>46151</v>
      </c>
      <c r="C141" t="s">
        <v>14</v>
      </c>
      <c r="D141" t="s">
        <v>11</v>
      </c>
      <c r="E141" t="s">
        <v>12</v>
      </c>
      <c r="F141">
        <v>96.2</v>
      </c>
      <c r="G141">
        <v>3350.5</v>
      </c>
      <c r="H141">
        <v>240</v>
      </c>
      <c r="I141">
        <v>5</v>
      </c>
    </row>
    <row r="142" spans="1:9" x14ac:dyDescent="0.3">
      <c r="A142" t="s">
        <v>167</v>
      </c>
      <c r="B142" s="1">
        <v>46151</v>
      </c>
      <c r="C142" t="s">
        <v>16</v>
      </c>
      <c r="D142" t="s">
        <v>17</v>
      </c>
      <c r="E142" t="s">
        <v>18</v>
      </c>
      <c r="F142">
        <v>102.1</v>
      </c>
      <c r="G142">
        <v>5050</v>
      </c>
      <c r="H142">
        <v>355</v>
      </c>
      <c r="I142">
        <v>8</v>
      </c>
    </row>
    <row r="143" spans="1:9" x14ac:dyDescent="0.3">
      <c r="A143" t="s">
        <v>168</v>
      </c>
      <c r="B143" s="1">
        <v>46151</v>
      </c>
      <c r="C143" t="s">
        <v>20</v>
      </c>
      <c r="D143" t="s">
        <v>17</v>
      </c>
      <c r="E143" t="s">
        <v>18</v>
      </c>
      <c r="F143">
        <v>105</v>
      </c>
      <c r="G143">
        <v>5820.75</v>
      </c>
      <c r="H143">
        <v>420</v>
      </c>
      <c r="I143">
        <v>8</v>
      </c>
    </row>
    <row r="144" spans="1:9" x14ac:dyDescent="0.3">
      <c r="A144" t="s">
        <v>169</v>
      </c>
      <c r="B144" s="1">
        <v>46151</v>
      </c>
      <c r="C144" t="s">
        <v>22</v>
      </c>
      <c r="D144" t="s">
        <v>23</v>
      </c>
      <c r="E144" t="s">
        <v>24</v>
      </c>
      <c r="F144">
        <v>99.4</v>
      </c>
      <c r="G144">
        <v>5250.5</v>
      </c>
      <c r="H144">
        <v>380</v>
      </c>
      <c r="I144">
        <v>7</v>
      </c>
    </row>
    <row r="145" spans="1:9" x14ac:dyDescent="0.3">
      <c r="A145" t="s">
        <v>170</v>
      </c>
      <c r="B145" s="1">
        <v>46151</v>
      </c>
      <c r="C145" t="s">
        <v>26</v>
      </c>
      <c r="D145" t="s">
        <v>23</v>
      </c>
      <c r="E145" t="s">
        <v>24</v>
      </c>
      <c r="F145">
        <v>97.9</v>
      </c>
      <c r="G145">
        <v>3640</v>
      </c>
      <c r="H145">
        <v>260</v>
      </c>
      <c r="I145">
        <v>7</v>
      </c>
    </row>
    <row r="146" spans="1:9" x14ac:dyDescent="0.3">
      <c r="A146" t="s">
        <v>171</v>
      </c>
      <c r="B146" s="1">
        <v>46155</v>
      </c>
      <c r="C146" t="s">
        <v>10</v>
      </c>
      <c r="D146" t="s">
        <v>28</v>
      </c>
      <c r="E146" t="s">
        <v>29</v>
      </c>
      <c r="F146">
        <v>87.4</v>
      </c>
      <c r="G146">
        <v>850.5</v>
      </c>
      <c r="H146">
        <v>60</v>
      </c>
      <c r="I146">
        <v>3</v>
      </c>
    </row>
    <row r="147" spans="1:9" x14ac:dyDescent="0.3">
      <c r="A147" t="s">
        <v>172</v>
      </c>
      <c r="B147" s="1">
        <v>46155</v>
      </c>
      <c r="C147" t="s">
        <v>14</v>
      </c>
      <c r="D147" t="s">
        <v>28</v>
      </c>
      <c r="E147" t="s">
        <v>29</v>
      </c>
      <c r="F147">
        <v>89.1</v>
      </c>
      <c r="G147">
        <v>1040</v>
      </c>
      <c r="H147">
        <v>90</v>
      </c>
      <c r="I147">
        <v>3</v>
      </c>
    </row>
    <row r="148" spans="1:9" x14ac:dyDescent="0.3">
      <c r="A148" t="s">
        <v>173</v>
      </c>
      <c r="B148" s="1">
        <v>46155</v>
      </c>
      <c r="C148" t="s">
        <v>16</v>
      </c>
      <c r="D148" t="s">
        <v>32</v>
      </c>
      <c r="E148" t="s">
        <v>33</v>
      </c>
      <c r="F148">
        <v>92</v>
      </c>
      <c r="G148">
        <v>1380.25</v>
      </c>
      <c r="H148">
        <v>105</v>
      </c>
      <c r="I148">
        <v>4</v>
      </c>
    </row>
    <row r="149" spans="1:9" x14ac:dyDescent="0.3">
      <c r="A149" t="s">
        <v>174</v>
      </c>
      <c r="B149" s="1">
        <v>46155</v>
      </c>
      <c r="C149" t="s">
        <v>20</v>
      </c>
      <c r="D149" t="s">
        <v>32</v>
      </c>
      <c r="E149" t="s">
        <v>33</v>
      </c>
      <c r="F149">
        <v>93.1</v>
      </c>
      <c r="G149">
        <v>1600.5</v>
      </c>
      <c r="H149">
        <v>125</v>
      </c>
      <c r="I149">
        <v>4</v>
      </c>
    </row>
    <row r="150" spans="1:9" x14ac:dyDescent="0.3">
      <c r="A150" t="s">
        <v>175</v>
      </c>
      <c r="B150" s="1">
        <v>46155</v>
      </c>
      <c r="C150" t="s">
        <v>22</v>
      </c>
      <c r="D150" t="s">
        <v>42</v>
      </c>
      <c r="E150" t="s">
        <v>43</v>
      </c>
      <c r="F150">
        <v>95</v>
      </c>
      <c r="G150">
        <v>2300</v>
      </c>
      <c r="H150">
        <v>165</v>
      </c>
      <c r="I150">
        <v>5</v>
      </c>
    </row>
    <row r="151" spans="1:9" x14ac:dyDescent="0.3">
      <c r="A151" t="s">
        <v>176</v>
      </c>
      <c r="B151" s="1">
        <v>46155</v>
      </c>
      <c r="C151" t="s">
        <v>26</v>
      </c>
      <c r="D151" t="s">
        <v>42</v>
      </c>
      <c r="E151" t="s">
        <v>43</v>
      </c>
      <c r="F151">
        <v>93.6</v>
      </c>
      <c r="G151">
        <v>1480.25</v>
      </c>
      <c r="H151">
        <v>110</v>
      </c>
      <c r="I151">
        <v>5</v>
      </c>
    </row>
    <row r="152" spans="1:9" x14ac:dyDescent="0.3">
      <c r="A152" t="s">
        <v>177</v>
      </c>
      <c r="B152" s="1">
        <v>46156</v>
      </c>
      <c r="C152" t="s">
        <v>10</v>
      </c>
      <c r="D152" t="s">
        <v>28</v>
      </c>
      <c r="E152" t="s">
        <v>29</v>
      </c>
      <c r="F152">
        <v>89.6</v>
      </c>
      <c r="G152">
        <v>1240.5</v>
      </c>
      <c r="H152">
        <v>110</v>
      </c>
      <c r="I152">
        <v>3</v>
      </c>
    </row>
    <row r="153" spans="1:9" x14ac:dyDescent="0.3">
      <c r="A153" t="s">
        <v>178</v>
      </c>
      <c r="B153" s="1">
        <v>46156</v>
      </c>
      <c r="C153" t="s">
        <v>14</v>
      </c>
      <c r="D153" t="s">
        <v>28</v>
      </c>
      <c r="E153" t="s">
        <v>29</v>
      </c>
      <c r="F153">
        <v>91.9</v>
      </c>
      <c r="G153">
        <v>1560</v>
      </c>
      <c r="H153">
        <v>140</v>
      </c>
      <c r="I153">
        <v>3</v>
      </c>
    </row>
    <row r="154" spans="1:9" x14ac:dyDescent="0.3">
      <c r="A154" t="s">
        <v>179</v>
      </c>
      <c r="B154" s="1">
        <v>46156</v>
      </c>
      <c r="C154" t="s">
        <v>16</v>
      </c>
      <c r="D154" t="s">
        <v>11</v>
      </c>
      <c r="E154" t="s">
        <v>12</v>
      </c>
      <c r="F154">
        <v>95.1</v>
      </c>
      <c r="G154">
        <v>2580.5</v>
      </c>
      <c r="H154">
        <v>185</v>
      </c>
      <c r="I154">
        <v>4</v>
      </c>
    </row>
    <row r="155" spans="1:9" x14ac:dyDescent="0.3">
      <c r="A155" t="s">
        <v>180</v>
      </c>
      <c r="B155" s="1">
        <v>46156</v>
      </c>
      <c r="C155" t="s">
        <v>20</v>
      </c>
      <c r="D155" t="s">
        <v>11</v>
      </c>
      <c r="E155" t="s">
        <v>12</v>
      </c>
      <c r="F155">
        <v>97</v>
      </c>
      <c r="G155">
        <v>3060</v>
      </c>
      <c r="H155">
        <v>220</v>
      </c>
      <c r="I155">
        <v>4</v>
      </c>
    </row>
    <row r="156" spans="1:9" x14ac:dyDescent="0.3">
      <c r="A156" t="s">
        <v>181</v>
      </c>
      <c r="B156" s="1">
        <v>46156</v>
      </c>
      <c r="C156" t="s">
        <v>22</v>
      </c>
      <c r="D156" t="s">
        <v>23</v>
      </c>
      <c r="E156" t="s">
        <v>24</v>
      </c>
      <c r="F156">
        <v>98.7</v>
      </c>
      <c r="G156">
        <v>4080.25</v>
      </c>
      <c r="H156">
        <v>280</v>
      </c>
      <c r="I156">
        <v>5</v>
      </c>
    </row>
    <row r="157" spans="1:9" x14ac:dyDescent="0.3">
      <c r="A157" t="s">
        <v>182</v>
      </c>
      <c r="B157" s="1">
        <v>46156</v>
      </c>
      <c r="C157" t="s">
        <v>26</v>
      </c>
      <c r="D157" t="s">
        <v>23</v>
      </c>
      <c r="E157" t="s">
        <v>24</v>
      </c>
      <c r="F157">
        <v>96.6</v>
      </c>
      <c r="G157">
        <v>2620.5</v>
      </c>
      <c r="H157">
        <v>185</v>
      </c>
      <c r="I157">
        <v>5</v>
      </c>
    </row>
    <row r="158" spans="1:9" x14ac:dyDescent="0.3">
      <c r="A158" t="s">
        <v>183</v>
      </c>
      <c r="B158" s="1">
        <v>46157</v>
      </c>
      <c r="C158" t="s">
        <v>10</v>
      </c>
      <c r="D158" t="s">
        <v>11</v>
      </c>
      <c r="E158" t="s">
        <v>12</v>
      </c>
      <c r="F158">
        <v>93.5</v>
      </c>
      <c r="G158">
        <v>2050</v>
      </c>
      <c r="H158">
        <v>160</v>
      </c>
      <c r="I158">
        <v>4</v>
      </c>
    </row>
    <row r="159" spans="1:9" x14ac:dyDescent="0.3">
      <c r="A159" t="s">
        <v>184</v>
      </c>
      <c r="B159" s="1">
        <v>46157</v>
      </c>
      <c r="C159" t="s">
        <v>14</v>
      </c>
      <c r="D159" t="s">
        <v>11</v>
      </c>
      <c r="E159" t="s">
        <v>12</v>
      </c>
      <c r="F159">
        <v>95.6</v>
      </c>
      <c r="G159">
        <v>2760.5</v>
      </c>
      <c r="H159">
        <v>205</v>
      </c>
      <c r="I159">
        <v>5</v>
      </c>
    </row>
    <row r="160" spans="1:9" x14ac:dyDescent="0.3">
      <c r="A160" t="s">
        <v>185</v>
      </c>
      <c r="B160" s="1">
        <v>46157</v>
      </c>
      <c r="C160" t="s">
        <v>16</v>
      </c>
      <c r="D160" t="s">
        <v>17</v>
      </c>
      <c r="E160" t="s">
        <v>18</v>
      </c>
      <c r="F160">
        <v>100.8</v>
      </c>
      <c r="G160">
        <v>4220</v>
      </c>
      <c r="H160">
        <v>310</v>
      </c>
      <c r="I160">
        <v>7</v>
      </c>
    </row>
    <row r="161" spans="1:9" x14ac:dyDescent="0.3">
      <c r="A161" t="s">
        <v>186</v>
      </c>
      <c r="B161" s="1">
        <v>46157</v>
      </c>
      <c r="C161" t="s">
        <v>20</v>
      </c>
      <c r="D161" t="s">
        <v>17</v>
      </c>
      <c r="E161" t="s">
        <v>18</v>
      </c>
      <c r="F161">
        <v>103.4</v>
      </c>
      <c r="G161">
        <v>5050.75</v>
      </c>
      <c r="H161">
        <v>370</v>
      </c>
      <c r="I161">
        <v>7</v>
      </c>
    </row>
    <row r="162" spans="1:9" x14ac:dyDescent="0.3">
      <c r="A162" t="s">
        <v>187</v>
      </c>
      <c r="B162" s="1">
        <v>46157</v>
      </c>
      <c r="C162" t="s">
        <v>22</v>
      </c>
      <c r="D162" t="s">
        <v>42</v>
      </c>
      <c r="E162" t="s">
        <v>43</v>
      </c>
      <c r="F162">
        <v>98</v>
      </c>
      <c r="G162">
        <v>4650</v>
      </c>
      <c r="H162">
        <v>345</v>
      </c>
      <c r="I162">
        <v>6</v>
      </c>
    </row>
    <row r="163" spans="1:9" x14ac:dyDescent="0.3">
      <c r="A163" t="s">
        <v>188</v>
      </c>
      <c r="B163" s="1">
        <v>46157</v>
      </c>
      <c r="C163" t="s">
        <v>26</v>
      </c>
      <c r="D163" t="s">
        <v>42</v>
      </c>
      <c r="E163" t="s">
        <v>43</v>
      </c>
      <c r="F163">
        <v>96.5</v>
      </c>
      <c r="G163">
        <v>3240.5</v>
      </c>
      <c r="H163">
        <v>240</v>
      </c>
      <c r="I163">
        <v>6</v>
      </c>
    </row>
    <row r="164" spans="1:9" x14ac:dyDescent="0.3">
      <c r="A164" t="s">
        <v>189</v>
      </c>
      <c r="B164" s="1">
        <v>46158</v>
      </c>
      <c r="C164" t="s">
        <v>10</v>
      </c>
      <c r="D164" t="s">
        <v>11</v>
      </c>
      <c r="E164" t="s">
        <v>12</v>
      </c>
      <c r="F164">
        <v>94.1</v>
      </c>
      <c r="G164">
        <v>2600.5</v>
      </c>
      <c r="H164">
        <v>185</v>
      </c>
      <c r="I164">
        <v>5</v>
      </c>
    </row>
    <row r="165" spans="1:9" x14ac:dyDescent="0.3">
      <c r="A165" t="s">
        <v>190</v>
      </c>
      <c r="B165" s="1">
        <v>46158</v>
      </c>
      <c r="C165" t="s">
        <v>14</v>
      </c>
      <c r="D165" t="s">
        <v>11</v>
      </c>
      <c r="E165" t="s">
        <v>12</v>
      </c>
      <c r="F165">
        <v>96.4</v>
      </c>
      <c r="G165">
        <v>3420</v>
      </c>
      <c r="H165">
        <v>245</v>
      </c>
      <c r="I165">
        <v>5</v>
      </c>
    </row>
    <row r="166" spans="1:9" x14ac:dyDescent="0.3">
      <c r="A166" t="s">
        <v>191</v>
      </c>
      <c r="B166" s="1">
        <v>46158</v>
      </c>
      <c r="C166" t="s">
        <v>16</v>
      </c>
      <c r="D166" t="s">
        <v>17</v>
      </c>
      <c r="E166" t="s">
        <v>18</v>
      </c>
      <c r="F166">
        <v>102.4</v>
      </c>
      <c r="G166">
        <v>5180.25</v>
      </c>
      <c r="H166">
        <v>365</v>
      </c>
      <c r="I166">
        <v>8</v>
      </c>
    </row>
    <row r="167" spans="1:9" x14ac:dyDescent="0.3">
      <c r="A167" t="s">
        <v>192</v>
      </c>
      <c r="B167" s="1">
        <v>46158</v>
      </c>
      <c r="C167" t="s">
        <v>20</v>
      </c>
      <c r="D167" t="s">
        <v>17</v>
      </c>
      <c r="E167" t="s">
        <v>18</v>
      </c>
      <c r="F167">
        <v>105.3</v>
      </c>
      <c r="G167">
        <v>5950</v>
      </c>
      <c r="H167">
        <v>430</v>
      </c>
      <c r="I167">
        <v>8</v>
      </c>
    </row>
    <row r="168" spans="1:9" x14ac:dyDescent="0.3">
      <c r="A168" t="s">
        <v>193</v>
      </c>
      <c r="B168" s="1">
        <v>46158</v>
      </c>
      <c r="C168" t="s">
        <v>22</v>
      </c>
      <c r="D168" t="s">
        <v>23</v>
      </c>
      <c r="E168" t="s">
        <v>24</v>
      </c>
      <c r="F168">
        <v>99.6</v>
      </c>
      <c r="G168">
        <v>5380.75</v>
      </c>
      <c r="H168">
        <v>390</v>
      </c>
      <c r="I168">
        <v>7</v>
      </c>
    </row>
    <row r="169" spans="1:9" x14ac:dyDescent="0.3">
      <c r="A169" t="s">
        <v>194</v>
      </c>
      <c r="B169" s="1">
        <v>46158</v>
      </c>
      <c r="C169" t="s">
        <v>26</v>
      </c>
      <c r="D169" t="s">
        <v>23</v>
      </c>
      <c r="E169" t="s">
        <v>24</v>
      </c>
      <c r="F169">
        <v>98.1</v>
      </c>
      <c r="G169">
        <v>3750</v>
      </c>
      <c r="H169">
        <v>270</v>
      </c>
      <c r="I169">
        <v>7</v>
      </c>
    </row>
    <row r="170" spans="1:9" x14ac:dyDescent="0.3">
      <c r="A170" t="s">
        <v>195</v>
      </c>
      <c r="B170" s="1">
        <v>46162</v>
      </c>
      <c r="C170" t="s">
        <v>10</v>
      </c>
      <c r="D170" t="s">
        <v>28</v>
      </c>
      <c r="E170" t="s">
        <v>29</v>
      </c>
      <c r="F170">
        <v>87.2</v>
      </c>
      <c r="G170">
        <v>820</v>
      </c>
      <c r="H170">
        <v>55</v>
      </c>
      <c r="I170">
        <v>3</v>
      </c>
    </row>
    <row r="171" spans="1:9" x14ac:dyDescent="0.3">
      <c r="A171" t="s">
        <v>196</v>
      </c>
      <c r="B171" s="1">
        <v>46162</v>
      </c>
      <c r="C171" t="s">
        <v>14</v>
      </c>
      <c r="D171" t="s">
        <v>28</v>
      </c>
      <c r="E171" t="s">
        <v>29</v>
      </c>
      <c r="F171">
        <v>88.9</v>
      </c>
      <c r="G171">
        <v>1000.5</v>
      </c>
      <c r="H171">
        <v>85</v>
      </c>
      <c r="I171">
        <v>3</v>
      </c>
    </row>
    <row r="172" spans="1:9" x14ac:dyDescent="0.3">
      <c r="A172" t="s">
        <v>197</v>
      </c>
      <c r="B172" s="1">
        <v>46162</v>
      </c>
      <c r="C172" t="s">
        <v>16</v>
      </c>
      <c r="D172" t="s">
        <v>32</v>
      </c>
      <c r="E172" t="s">
        <v>33</v>
      </c>
      <c r="F172">
        <v>91.8</v>
      </c>
      <c r="G172">
        <v>1320</v>
      </c>
      <c r="H172">
        <v>100</v>
      </c>
      <c r="I172">
        <v>4</v>
      </c>
    </row>
    <row r="173" spans="1:9" x14ac:dyDescent="0.3">
      <c r="A173" t="s">
        <v>198</v>
      </c>
      <c r="B173" s="1">
        <v>46162</v>
      </c>
      <c r="C173" t="s">
        <v>20</v>
      </c>
      <c r="D173" t="s">
        <v>32</v>
      </c>
      <c r="E173" t="s">
        <v>33</v>
      </c>
      <c r="F173">
        <v>92.9</v>
      </c>
      <c r="G173">
        <v>1550.25</v>
      </c>
      <c r="H173">
        <v>120</v>
      </c>
      <c r="I173">
        <v>4</v>
      </c>
    </row>
    <row r="174" spans="1:9" x14ac:dyDescent="0.3">
      <c r="A174" t="s">
        <v>199</v>
      </c>
      <c r="B174" s="1">
        <v>46162</v>
      </c>
      <c r="C174" t="s">
        <v>22</v>
      </c>
      <c r="D174" t="s">
        <v>42</v>
      </c>
      <c r="E174" t="s">
        <v>43</v>
      </c>
      <c r="F174">
        <v>94.8</v>
      </c>
      <c r="G174">
        <v>2220.5</v>
      </c>
      <c r="H174">
        <v>160</v>
      </c>
      <c r="I174">
        <v>5</v>
      </c>
    </row>
    <row r="175" spans="1:9" x14ac:dyDescent="0.3">
      <c r="A175" t="s">
        <v>200</v>
      </c>
      <c r="B175" s="1">
        <v>46162</v>
      </c>
      <c r="C175" t="s">
        <v>26</v>
      </c>
      <c r="D175" t="s">
        <v>42</v>
      </c>
      <c r="E175" t="s">
        <v>43</v>
      </c>
      <c r="F175">
        <v>93.4</v>
      </c>
      <c r="G175">
        <v>1420</v>
      </c>
      <c r="H175">
        <v>105</v>
      </c>
      <c r="I175">
        <v>5</v>
      </c>
    </row>
    <row r="176" spans="1:9" x14ac:dyDescent="0.3">
      <c r="A176" t="s">
        <v>201</v>
      </c>
      <c r="B176" s="1">
        <v>46163</v>
      </c>
      <c r="C176" t="s">
        <v>10</v>
      </c>
      <c r="D176" t="s">
        <v>28</v>
      </c>
      <c r="E176" t="s">
        <v>29</v>
      </c>
      <c r="F176">
        <v>89.8</v>
      </c>
      <c r="G176">
        <v>1270</v>
      </c>
      <c r="H176">
        <v>115</v>
      </c>
      <c r="I176">
        <v>3</v>
      </c>
    </row>
    <row r="177" spans="1:9" x14ac:dyDescent="0.3">
      <c r="A177" t="s">
        <v>202</v>
      </c>
      <c r="B177" s="1">
        <v>46163</v>
      </c>
      <c r="C177" t="s">
        <v>14</v>
      </c>
      <c r="D177" t="s">
        <v>28</v>
      </c>
      <c r="E177" t="s">
        <v>29</v>
      </c>
      <c r="F177">
        <v>92.1</v>
      </c>
      <c r="G177">
        <v>1600.5</v>
      </c>
      <c r="H177">
        <v>145</v>
      </c>
      <c r="I177">
        <v>3</v>
      </c>
    </row>
    <row r="178" spans="1:9" x14ac:dyDescent="0.3">
      <c r="A178" t="s">
        <v>203</v>
      </c>
      <c r="B178" s="1">
        <v>46163</v>
      </c>
      <c r="C178" t="s">
        <v>16</v>
      </c>
      <c r="D178" t="s">
        <v>11</v>
      </c>
      <c r="E178" t="s">
        <v>12</v>
      </c>
      <c r="F178">
        <v>95.3</v>
      </c>
      <c r="G178">
        <v>2650</v>
      </c>
      <c r="H178">
        <v>190</v>
      </c>
      <c r="I178">
        <v>4</v>
      </c>
    </row>
    <row r="179" spans="1:9" x14ac:dyDescent="0.3">
      <c r="A179" t="s">
        <v>204</v>
      </c>
      <c r="B179" s="1">
        <v>46163</v>
      </c>
      <c r="C179" t="s">
        <v>20</v>
      </c>
      <c r="D179" t="s">
        <v>11</v>
      </c>
      <c r="E179" t="s">
        <v>12</v>
      </c>
      <c r="F179">
        <v>97.2</v>
      </c>
      <c r="G179">
        <v>3140.25</v>
      </c>
      <c r="H179">
        <v>225</v>
      </c>
      <c r="I179">
        <v>4</v>
      </c>
    </row>
    <row r="180" spans="1:9" x14ac:dyDescent="0.3">
      <c r="A180" t="s">
        <v>205</v>
      </c>
      <c r="B180" s="1">
        <v>46163</v>
      </c>
      <c r="C180" t="s">
        <v>22</v>
      </c>
      <c r="D180" t="s">
        <v>23</v>
      </c>
      <c r="E180" t="s">
        <v>24</v>
      </c>
      <c r="F180">
        <v>98.9</v>
      </c>
      <c r="G180">
        <v>4200.5</v>
      </c>
      <c r="H180">
        <v>290</v>
      </c>
      <c r="I180">
        <v>5</v>
      </c>
    </row>
    <row r="181" spans="1:9" x14ac:dyDescent="0.3">
      <c r="A181" t="s">
        <v>206</v>
      </c>
      <c r="B181" s="1">
        <v>46163</v>
      </c>
      <c r="C181" t="s">
        <v>26</v>
      </c>
      <c r="D181" t="s">
        <v>23</v>
      </c>
      <c r="E181" t="s">
        <v>24</v>
      </c>
      <c r="F181">
        <v>96.8</v>
      </c>
      <c r="G181">
        <v>2700</v>
      </c>
      <c r="H181">
        <v>190</v>
      </c>
      <c r="I181">
        <v>5</v>
      </c>
    </row>
    <row r="182" spans="1:9" x14ac:dyDescent="0.3">
      <c r="A182" t="s">
        <v>207</v>
      </c>
      <c r="B182" s="1">
        <v>46164</v>
      </c>
      <c r="C182" t="s">
        <v>10</v>
      </c>
      <c r="D182" t="s">
        <v>11</v>
      </c>
      <c r="E182" t="s">
        <v>12</v>
      </c>
      <c r="F182">
        <v>93.7</v>
      </c>
      <c r="G182">
        <v>2110.5</v>
      </c>
      <c r="H182">
        <v>165</v>
      </c>
      <c r="I182">
        <v>4</v>
      </c>
    </row>
    <row r="183" spans="1:9" x14ac:dyDescent="0.3">
      <c r="A183" t="s">
        <v>208</v>
      </c>
      <c r="B183" s="1">
        <v>46164</v>
      </c>
      <c r="C183" t="s">
        <v>14</v>
      </c>
      <c r="D183" t="s">
        <v>11</v>
      </c>
      <c r="E183" t="s">
        <v>12</v>
      </c>
      <c r="F183">
        <v>95.8</v>
      </c>
      <c r="G183">
        <v>2840</v>
      </c>
      <c r="H183">
        <v>210</v>
      </c>
      <c r="I183">
        <v>5</v>
      </c>
    </row>
    <row r="184" spans="1:9" x14ac:dyDescent="0.3">
      <c r="A184" t="s">
        <v>209</v>
      </c>
      <c r="B184" s="1">
        <v>46164</v>
      </c>
      <c r="C184" t="s">
        <v>16</v>
      </c>
      <c r="D184" t="s">
        <v>17</v>
      </c>
      <c r="E184" t="s">
        <v>18</v>
      </c>
      <c r="F184">
        <v>101.1</v>
      </c>
      <c r="G184">
        <v>4340.5</v>
      </c>
      <c r="H184">
        <v>320</v>
      </c>
      <c r="I184">
        <v>7</v>
      </c>
    </row>
    <row r="185" spans="1:9" x14ac:dyDescent="0.3">
      <c r="A185" t="s">
        <v>210</v>
      </c>
      <c r="B185" s="1">
        <v>46164</v>
      </c>
      <c r="C185" t="s">
        <v>20</v>
      </c>
      <c r="D185" t="s">
        <v>17</v>
      </c>
      <c r="E185" t="s">
        <v>18</v>
      </c>
      <c r="F185">
        <v>103.7</v>
      </c>
      <c r="G185">
        <v>5180</v>
      </c>
      <c r="H185">
        <v>380</v>
      </c>
      <c r="I185">
        <v>7</v>
      </c>
    </row>
    <row r="186" spans="1:9" x14ac:dyDescent="0.3">
      <c r="A186" t="s">
        <v>211</v>
      </c>
      <c r="B186" s="1">
        <v>46164</v>
      </c>
      <c r="C186" t="s">
        <v>22</v>
      </c>
      <c r="D186" t="s">
        <v>42</v>
      </c>
      <c r="E186" t="s">
        <v>43</v>
      </c>
      <c r="F186">
        <v>98.2</v>
      </c>
      <c r="G186">
        <v>4780.25</v>
      </c>
      <c r="H186">
        <v>355</v>
      </c>
      <c r="I186">
        <v>6</v>
      </c>
    </row>
    <row r="187" spans="1:9" x14ac:dyDescent="0.3">
      <c r="A187" t="s">
        <v>212</v>
      </c>
      <c r="B187" s="1">
        <v>46164</v>
      </c>
      <c r="C187" t="s">
        <v>26</v>
      </c>
      <c r="D187" t="s">
        <v>42</v>
      </c>
      <c r="E187" t="s">
        <v>43</v>
      </c>
      <c r="F187">
        <v>96.7</v>
      </c>
      <c r="G187">
        <v>3320</v>
      </c>
      <c r="H187">
        <v>245</v>
      </c>
      <c r="I187">
        <v>6</v>
      </c>
    </row>
    <row r="188" spans="1:9" x14ac:dyDescent="0.3">
      <c r="A188" t="s">
        <v>213</v>
      </c>
      <c r="B188" s="1">
        <v>46165</v>
      </c>
      <c r="C188" t="s">
        <v>10</v>
      </c>
      <c r="D188" t="s">
        <v>11</v>
      </c>
      <c r="E188" t="s">
        <v>12</v>
      </c>
      <c r="F188">
        <v>94.3</v>
      </c>
      <c r="G188">
        <v>2680</v>
      </c>
      <c r="H188">
        <v>190</v>
      </c>
      <c r="I188">
        <v>5</v>
      </c>
    </row>
    <row r="189" spans="1:9" x14ac:dyDescent="0.3">
      <c r="A189" t="s">
        <v>214</v>
      </c>
      <c r="B189" s="1">
        <v>46165</v>
      </c>
      <c r="C189" t="s">
        <v>14</v>
      </c>
      <c r="D189" t="s">
        <v>11</v>
      </c>
      <c r="E189" t="s">
        <v>12</v>
      </c>
      <c r="F189">
        <v>96.6</v>
      </c>
      <c r="G189">
        <v>3500.5</v>
      </c>
      <c r="H189">
        <v>250</v>
      </c>
      <c r="I189">
        <v>5</v>
      </c>
    </row>
    <row r="190" spans="1:9" x14ac:dyDescent="0.3">
      <c r="A190" t="s">
        <v>215</v>
      </c>
      <c r="B190" s="1">
        <v>46165</v>
      </c>
      <c r="C190" t="s">
        <v>16</v>
      </c>
      <c r="D190" t="s">
        <v>17</v>
      </c>
      <c r="E190" t="s">
        <v>18</v>
      </c>
      <c r="F190">
        <v>102.7</v>
      </c>
      <c r="G190">
        <v>5300</v>
      </c>
      <c r="H190">
        <v>375</v>
      </c>
      <c r="I190">
        <v>8</v>
      </c>
    </row>
    <row r="191" spans="1:9" x14ac:dyDescent="0.3">
      <c r="A191" t="s">
        <v>216</v>
      </c>
      <c r="B191" s="1">
        <v>46165</v>
      </c>
      <c r="C191" t="s">
        <v>20</v>
      </c>
      <c r="D191" t="s">
        <v>17</v>
      </c>
      <c r="E191" t="s">
        <v>18</v>
      </c>
      <c r="F191">
        <v>105.6</v>
      </c>
      <c r="G191">
        <v>6080.25</v>
      </c>
      <c r="H191">
        <v>440</v>
      </c>
      <c r="I191">
        <v>8</v>
      </c>
    </row>
    <row r="192" spans="1:9" x14ac:dyDescent="0.3">
      <c r="A192" t="s">
        <v>217</v>
      </c>
      <c r="B192" s="1">
        <v>46165</v>
      </c>
      <c r="C192" t="s">
        <v>22</v>
      </c>
      <c r="D192" t="s">
        <v>23</v>
      </c>
      <c r="E192" t="s">
        <v>24</v>
      </c>
      <c r="F192">
        <v>99.8</v>
      </c>
      <c r="G192">
        <v>5500.5</v>
      </c>
      <c r="H192">
        <v>400</v>
      </c>
      <c r="I192">
        <v>7</v>
      </c>
    </row>
    <row r="193" spans="1:9" x14ac:dyDescent="0.3">
      <c r="A193" t="s">
        <v>218</v>
      </c>
      <c r="B193" s="1">
        <v>46165</v>
      </c>
      <c r="C193" t="s">
        <v>26</v>
      </c>
      <c r="D193" t="s">
        <v>23</v>
      </c>
      <c r="E193" t="s">
        <v>24</v>
      </c>
      <c r="F193">
        <v>98.3</v>
      </c>
      <c r="G193">
        <v>3860</v>
      </c>
      <c r="H193">
        <v>280</v>
      </c>
      <c r="I193">
        <v>7</v>
      </c>
    </row>
    <row r="194" spans="1:9" x14ac:dyDescent="0.3">
      <c r="A194" t="s">
        <v>219</v>
      </c>
      <c r="B194" s="1">
        <v>46169</v>
      </c>
      <c r="C194" t="s">
        <v>10</v>
      </c>
      <c r="D194" t="s">
        <v>28</v>
      </c>
      <c r="E194" t="s">
        <v>29</v>
      </c>
      <c r="F194">
        <v>87</v>
      </c>
      <c r="G194">
        <v>800</v>
      </c>
      <c r="H194">
        <v>50</v>
      </c>
      <c r="I194">
        <v>3</v>
      </c>
    </row>
    <row r="195" spans="1:9" x14ac:dyDescent="0.3">
      <c r="A195" t="s">
        <v>220</v>
      </c>
      <c r="B195" s="1">
        <v>46169</v>
      </c>
      <c r="C195" t="s">
        <v>14</v>
      </c>
      <c r="D195" t="s">
        <v>28</v>
      </c>
      <c r="E195" t="s">
        <v>29</v>
      </c>
      <c r="F195">
        <v>88.7</v>
      </c>
      <c r="G195">
        <v>980.5</v>
      </c>
      <c r="H195">
        <v>80</v>
      </c>
      <c r="I195">
        <v>3</v>
      </c>
    </row>
    <row r="196" spans="1:9" x14ac:dyDescent="0.3">
      <c r="A196" t="s">
        <v>221</v>
      </c>
      <c r="B196" s="1">
        <v>46169</v>
      </c>
      <c r="C196" t="s">
        <v>16</v>
      </c>
      <c r="D196" t="s">
        <v>32</v>
      </c>
      <c r="E196" t="s">
        <v>33</v>
      </c>
      <c r="F196">
        <v>91.5</v>
      </c>
      <c r="G196">
        <v>1280</v>
      </c>
      <c r="H196">
        <v>95</v>
      </c>
      <c r="I196">
        <v>4</v>
      </c>
    </row>
    <row r="197" spans="1:9" x14ac:dyDescent="0.3">
      <c r="A197" t="s">
        <v>222</v>
      </c>
      <c r="B197" s="1">
        <v>46169</v>
      </c>
      <c r="C197" t="s">
        <v>20</v>
      </c>
      <c r="D197" t="s">
        <v>32</v>
      </c>
      <c r="E197" t="s">
        <v>33</v>
      </c>
      <c r="F197">
        <v>92.7</v>
      </c>
      <c r="G197">
        <v>1500.25</v>
      </c>
      <c r="H197">
        <v>115</v>
      </c>
      <c r="I197">
        <v>4</v>
      </c>
    </row>
    <row r="198" spans="1:9" x14ac:dyDescent="0.3">
      <c r="A198" t="s">
        <v>223</v>
      </c>
      <c r="B198" s="1">
        <v>46169</v>
      </c>
      <c r="C198" t="s">
        <v>22</v>
      </c>
      <c r="D198" t="s">
        <v>42</v>
      </c>
      <c r="E198" t="s">
        <v>43</v>
      </c>
      <c r="F198">
        <v>94.6</v>
      </c>
      <c r="G198">
        <v>2150.5</v>
      </c>
      <c r="H198">
        <v>155</v>
      </c>
      <c r="I198">
        <v>5</v>
      </c>
    </row>
    <row r="199" spans="1:9" x14ac:dyDescent="0.3">
      <c r="A199" t="s">
        <v>224</v>
      </c>
      <c r="B199" s="1">
        <v>46169</v>
      </c>
      <c r="C199" t="s">
        <v>26</v>
      </c>
      <c r="D199" t="s">
        <v>42</v>
      </c>
      <c r="E199" t="s">
        <v>43</v>
      </c>
      <c r="F199">
        <v>93.2</v>
      </c>
      <c r="G199">
        <v>1380</v>
      </c>
      <c r="H199">
        <v>100</v>
      </c>
      <c r="I199">
        <v>5</v>
      </c>
    </row>
    <row r="200" spans="1:9" x14ac:dyDescent="0.3">
      <c r="A200" t="s">
        <v>225</v>
      </c>
      <c r="B200" s="1">
        <v>46170</v>
      </c>
      <c r="C200" t="s">
        <v>10</v>
      </c>
      <c r="D200" t="s">
        <v>28</v>
      </c>
      <c r="E200" t="s">
        <v>29</v>
      </c>
      <c r="F200">
        <v>90</v>
      </c>
      <c r="G200">
        <v>1300.5</v>
      </c>
      <c r="H200">
        <v>120</v>
      </c>
      <c r="I200">
        <v>3</v>
      </c>
    </row>
    <row r="201" spans="1:9" x14ac:dyDescent="0.3">
      <c r="A201" t="s">
        <v>226</v>
      </c>
      <c r="B201" s="1">
        <v>46170</v>
      </c>
      <c r="C201" t="s">
        <v>14</v>
      </c>
      <c r="D201" t="s">
        <v>28</v>
      </c>
      <c r="E201" t="s">
        <v>29</v>
      </c>
      <c r="F201">
        <v>92.3</v>
      </c>
      <c r="G201">
        <v>1640</v>
      </c>
      <c r="H201">
        <v>150</v>
      </c>
      <c r="I201">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CC70B7-43ED-4693-B34C-588F05C76D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 (2)</vt:lpstr>
      <vt:lpstr>Dachbord</vt:lpstr>
      <vt:lpstr>pivote table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 Khater</dc:creator>
  <cp:lastModifiedBy>Abdelrahman mohamed Abdalaty</cp:lastModifiedBy>
  <dcterms:created xsi:type="dcterms:W3CDTF">2015-06-05T18:17:20Z</dcterms:created>
  <dcterms:modified xsi:type="dcterms:W3CDTF">2026-06-06T14:08:35Z</dcterms:modified>
</cp:coreProperties>
</file>